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ne Michael\Desktop\MAIN FILES\FREELANCE PROJECTS\PORTFOLIO\ONGOING PROJECTS\US EV PROJECT\"/>
    </mc:Choice>
  </mc:AlternateContent>
  <xr:revisionPtr revIDLastSave="0" documentId="13_ncr:1_{A467C960-AF7A-4B40-BDDD-EFDB99C06C0C}" xr6:coauthVersionLast="47" xr6:coauthVersionMax="47" xr10:uidLastSave="{00000000-0000-0000-0000-000000000000}"/>
  <bookViews>
    <workbookView xWindow="-120" yWindow="-120" windowWidth="20730" windowHeight="11040" xr2:uid="{1E4AC7D4-9540-4746-9EB8-14624F9D3901}"/>
  </bookViews>
  <sheets>
    <sheet name="Vehicle Data" sheetId="1" r:id="rId1"/>
    <sheet name="ISNUMBER" sheetId="2" state="hidden" r:id="rId2"/>
    <sheet name="Zero-Heavy Fuel Types" sheetId="3" r:id="rId3"/>
    <sheet name="Fuel Type &amp; Total Vehicles" sheetId="4" r:id="rId4"/>
    <sheet name="Total Vehicle By State" sheetId="5" r:id="rId5"/>
    <sheet name="EVs By State" sheetId="7" r:id="rId6"/>
    <sheet name="Cleaning Notes" sheetId="6" r:id="rId7"/>
  </sheets>
  <definedNames>
    <definedName name="_xlnm._FilterDatabase" localSheetId="2" hidden="1">'Zero-Heavy Fuel Types'!$A$1:$M$52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6" i="3" l="1"/>
  <c r="E56" i="3"/>
  <c r="F56" i="3"/>
  <c r="G56" i="3"/>
  <c r="H56" i="3"/>
  <c r="I56" i="3"/>
  <c r="J56" i="3"/>
  <c r="K56" i="3"/>
  <c r="L56" i="3"/>
  <c r="M56" i="3"/>
  <c r="C56" i="3"/>
  <c r="D55" i="3"/>
  <c r="E55" i="3"/>
  <c r="F55" i="3"/>
  <c r="G55" i="3"/>
  <c r="H55" i="3"/>
  <c r="I55" i="3"/>
  <c r="J55" i="3"/>
  <c r="K55" i="3"/>
  <c r="L55" i="3"/>
  <c r="M55" i="3"/>
  <c r="C55" i="3"/>
  <c r="D54" i="3"/>
  <c r="E54" i="3"/>
  <c r="F54" i="3"/>
  <c r="G54" i="3"/>
  <c r="H54" i="3"/>
  <c r="I54" i="3"/>
  <c r="J54" i="3"/>
  <c r="K54" i="3"/>
  <c r="L54" i="3"/>
  <c r="M54" i="3"/>
  <c r="C54" i="3"/>
  <c r="B56" i="3"/>
  <c r="B55" i="3"/>
  <c r="B54" i="3"/>
</calcChain>
</file>

<file path=xl/sharedStrings.xml><?xml version="1.0" encoding="utf-8"?>
<sst xmlns="http://schemas.openxmlformats.org/spreadsheetml/2006/main" count="273" uniqueCount="92">
  <si>
    <t>State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</si>
  <si>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</si>
  <si>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</si>
  <si>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</si>
  <si>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</si>
  <si>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</si>
  <si>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</si>
  <si>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</si>
  <si>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</si>
  <si>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</si>
  <si>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</si>
  <si>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</si>
  <si>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</si>
  <si>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</si>
  <si>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</si>
  <si>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</si>
  <si>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</si>
  <si>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</si>
  <si>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</si>
  <si>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</si>
  <si>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</si>
  <si>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</si>
  <si>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</si>
  <si>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</si>
  <si>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</si>
  <si>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</si>
  <si>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</si>
  <si>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</si>
  <si>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</si>
  <si>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</si>
  <si>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</si>
  <si>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</si>
  <si>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</si>
  <si>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</si>
  <si>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</si>
  <si>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</si>
  <si>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</si>
  <si>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</si>
  <si>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</si>
  <si>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</si>
  <si>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</si>
  <si>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</si>
  <si>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</si>
  <si>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</si>
  <si>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</si>
  <si>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</si>
  <si>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</si>
  <si>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</si>
  <si>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</si>
  <si>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</si>
  <si>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</si>
  <si>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</si>
  <si>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</si>
  <si>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</si>
  <si>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</si>
  <si>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</si>
  <si>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</si>
  <si>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</si>
  <si>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</si>
  <si>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</si>
  <si>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</si>
  <si>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</si>
  <si>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</si>
  <si>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</si>
  <si>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SUM</t>
  </si>
  <si>
    <t>MIN</t>
  </si>
  <si>
    <t>MAX</t>
  </si>
  <si>
    <t xml:space="preserve">S/N </t>
  </si>
  <si>
    <t xml:space="preserve">FUEL TYPE </t>
  </si>
  <si>
    <t>TOTAL VEHICLES</t>
  </si>
  <si>
    <t>Electric Vehicle (EV)</t>
  </si>
  <si>
    <t>Plug-In Hybrid EV (PHEV)</t>
  </si>
  <si>
    <t>CNG</t>
  </si>
  <si>
    <t>Action Taken</t>
  </si>
  <si>
    <t>Check Performed</t>
  </si>
  <si>
    <t>Result</t>
  </si>
  <si>
    <t>Missing Values</t>
  </si>
  <si>
    <t>None</t>
  </si>
  <si>
    <t>No action Required</t>
  </si>
  <si>
    <t>Duplicate Records</t>
  </si>
  <si>
    <t>State Names</t>
  </si>
  <si>
    <t>Data Types</t>
  </si>
  <si>
    <t>Values stored as text</t>
  </si>
  <si>
    <t>Total Vehicles</t>
  </si>
  <si>
    <t>None found</t>
  </si>
  <si>
    <t>Consistent</t>
  </si>
  <si>
    <t>All Numeric</t>
  </si>
  <si>
    <t>No suspicious totals</t>
  </si>
  <si>
    <t>Top 10 By State</t>
  </si>
  <si>
    <t>Bottom 10 By State</t>
  </si>
  <si>
    <t>Top 5 By State</t>
  </si>
  <si>
    <t>Bottom 5 By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</si>
</sst>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3" fontId="0" fillId="0" borderId="0" xfId="0" applyNumberFormat="1"/>
    <xf numFmtId="0" fontId="16" fillId="0" borderId="0" xfId="0" applyFont="1"/>
    <xf numFmtId="0" fontId="18" fillId="0" borderId="0" xfId="0" applyFont="1"/>
    <xf numFmtId="3" fontId="18" fillId="0" borderId="0" xfId="0" applyNumberFormat="1" applyFont="1"/>
    <xf numFmtId="3" fontId="18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16" fillId="0" borderId="0" xfId="0" applyFont="1" applyAlignment="1">
      <alignment horizontal="left" vertical="top"/>
    </xf>
    <xf numFmtId="3" fontId="0" fillId="0" borderId="0" xfId="0" applyNumberFormat="1" applyAlignment="1">
      <alignment horizontal="left" vertical="top"/>
    </xf>
    <xf numFmtId="164" fontId="0" fillId="0" borderId="0" xfId="42" applyNumberFormat="1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/>
    </xf>
    <xf numFmtId="0" fontId="20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164" formatCode="#,##0_ ;\-#,##0\ "/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#,##0_ ;\-#,##0\ 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" formatCode="#,##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_ ;\-#,##0\ 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NG" baseline="0"/>
              <a:t> </a:t>
            </a:r>
            <a:r>
              <a:rPr lang="en-NG"/>
              <a:t>BY STATE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'Fuel Type &amp; Total Vehicles'!$C$1</c:f>
              <c:strCache>
                <c:ptCount val="1"/>
                <c:pt idx="0">
                  <c:v>TOTAL VEHICLES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_);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'Fuel Type &amp; Total Vehicles'!$B$2:$B$13</c:f>
              <c:strCache>
                <c:ptCount val="12"/>
                <c:pt idx="0">
                  <c:v>Electric Vehicle (EV)</c:v>
                </c:pt>
                <c:pt idx="1">
                  <c:v>Plug-In Hybrid EV (PHEV)</c:v>
                </c:pt>
                <c:pt idx="2">
                  <c:v>Hybrid Electric (HEV)</c:v>
                </c:pt>
                <c:pt idx="3">
                  <c:v>Biodiesel</c:v>
                </c:pt>
                <c:pt idx="4">
                  <c:v>Ethanol/Flex (E85)</c:v>
                </c:pt>
                <c:pt idx="5">
                  <c:v>CNG</c:v>
                </c:pt>
                <c:pt idx="6">
                  <c:v>Propane</c:v>
                </c:pt>
                <c:pt idx="7">
                  <c:v>Hydrogen</c:v>
                </c:pt>
                <c:pt idx="8">
                  <c:v>Methanol</c:v>
                </c:pt>
                <c:pt idx="9">
                  <c:v>Gasoline</c:v>
                </c:pt>
                <c:pt idx="10">
                  <c:v>Diesel</c:v>
                </c:pt>
                <c:pt idx="11">
                  <c:v>Unknown Fuel</c:v>
                </c:pt>
              </c:strCache>
            </c:strRef>
          </c:cat>
          <c:val>
            <c:numRef>
              <c:f>'Fuel Type &amp; Total Vehicles'!$C$2:$C$13</c:f>
              <c:numCache>
                <c:formatCode>#,##0</c:formatCode>
                <c:ptCount val="12"/>
                <c:pt idx="0">
                  <c:v>3555900</c:v>
                </c:pt>
                <c:pt idx="1">
                  <c:v>1307200</c:v>
                </c:pt>
                <c:pt idx="2">
                  <c:v>7392300</c:v>
                </c:pt>
                <c:pt idx="3">
                  <c:v>2803600</c:v>
                </c:pt>
                <c:pt idx="4">
                  <c:v>20240600</c:v>
                </c:pt>
                <c:pt idx="5">
                  <c:v>24700</c:v>
                </c:pt>
                <c:pt idx="6">
                  <c:v>6000</c:v>
                </c:pt>
                <c:pt idx="7">
                  <c:v>16900</c:v>
                </c:pt>
                <c:pt idx="8" formatCode="General">
                  <c:v>0</c:v>
                </c:pt>
                <c:pt idx="9">
                  <c:v>242870900</c:v>
                </c:pt>
                <c:pt idx="10">
                  <c:v>7184300</c:v>
                </c:pt>
                <c:pt idx="11">
                  <c:v>1694100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8-48E7-BE24-978545E88EE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0676591"/>
        <c:axId val="153558415"/>
      </c:barChart>
      <c:catAx>
        <c:axId val="606765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G"/>
                  <a:t>FUEL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3558415"/>
        <c:crosses val="autoZero"/>
        <c:auto val="1"/>
        <c:lblAlgn val="ctr"/>
        <c:lblOffset val="100"/>
        <c:noMultiLvlLbl val="0"/>
      </c:catAx>
      <c:valAx>
        <c:axId val="15355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067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28574</xdr:rowOff>
    </xdr:from>
    <xdr:to>
      <xdr:col>12</xdr:col>
      <xdr:colOff>590550</xdr:colOff>
      <xdr:row>18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B2A608-2215-42DA-76BC-CC3B8FE2A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316EBA-683B-4B52-AAC3-34C28CE5D27C}" name="Table2" displayName="Table2" ref="A1:M52" totalsRowShown="0" headerRowDxfId="20">
  <autoFilter ref="A1:M52" xr:uid="{21316EBA-683B-4B52-AAC3-34C28CE5D27C}"/>
  <tableColumns count="13">
    <tableColumn id="1" xr3:uid="{F9881193-AF07-4DCE-9039-7BA3B6BEE815}" name="State"/>
    <tableColumn id="2" xr3:uid="{6A699CC4-2051-422C-9EB0-6A76D7A206C8}" name="Electric (EV)" dataDxfId="19"/>
    <tableColumn id="3" xr3:uid="{A1F3014D-319C-47FC-BAD0-674C137E1486}" name="Plug-In Hybrid Electric (PHEV)" dataDxfId="18"/>
    <tableColumn id="4" xr3:uid="{EE6C9422-8E21-4969-838F-CAA45F1B7498}" name="Hybrid Electric (HEV)" dataDxfId="17"/>
    <tableColumn id="5" xr3:uid="{7CD2BF30-1559-468A-89FC-1011334FBB15}" name="Biodiesel" dataDxfId="16"/>
    <tableColumn id="6" xr3:uid="{172A806A-B88D-42F9-9F36-5EC001DE5AE0}" name="Ethanol/Flex (E85)" dataDxfId="15"/>
    <tableColumn id="7" xr3:uid="{98B1C7BB-F7EE-4838-B949-C04290938445}" name="Compressed Natural Gas (CNG)"/>
    <tableColumn id="8" xr3:uid="{569AD352-67CA-45AC-9726-04FFCF1F98D6}" name="Propane"/>
    <tableColumn id="9" xr3:uid="{02467420-80FE-4B13-8643-0B069C1E3484}" name="Hydrogen"/>
    <tableColumn id="10" xr3:uid="{361B5DA5-2861-4FBB-8E42-A764CF6A9A00}" name="Methanol"/>
    <tableColumn id="11" xr3:uid="{383BBAEC-7894-4D2D-B5D6-3654F0F94840}" name="Gasoline" dataDxfId="14"/>
    <tableColumn id="12" xr3:uid="{61E580C4-D068-4763-B5CD-75694EE67244}" name="Diesel" dataDxfId="13"/>
    <tableColumn id="13" xr3:uid="{DA839AB5-1B60-4483-9198-64480152318F}" name="Unknown Fuel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3E1DE-6A60-49CB-8E0C-A659261F9894}" name="Table1" displayName="Table1" ref="A1:C13" totalsRowShown="0" headerRowDxfId="11">
  <autoFilter ref="A1:C13" xr:uid="{B1E3E1DE-6A60-49CB-8E0C-A659261F9894}"/>
  <tableColumns count="3">
    <tableColumn id="1" xr3:uid="{7BD94449-7049-4BFE-8169-9AE268A48E25}" name="S/N " dataDxfId="10"/>
    <tableColumn id="2" xr3:uid="{18CACA55-B74C-428F-9E64-61DF0860DF4C}" name="FUEL TYPE " dataDxfId="9"/>
    <tableColumn id="3" xr3:uid="{C8FFBA4A-3E52-4408-BA75-DE07C5361505}" name="TOTAL VEHICLES" dataDxfId="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D06EE97-5D46-4011-8832-CAC32B20DB60}" name="Table6" displayName="Table6" ref="B2:C12" totalsRowShown="0" headerRowDxfId="7">
  <autoFilter ref="B2:C12" xr:uid="{5D06EE97-5D46-4011-8832-CAC32B20DB60}">
    <filterColumn colId="1">
      <top10 top="0" val="10" filterVal="36850300"/>
    </filterColumn>
  </autoFilter>
  <sortState xmlns:xlrd2="http://schemas.microsoft.com/office/spreadsheetml/2017/richdata2" ref="B3:C12">
    <sortCondition descending="1" ref="C2:C12"/>
  </sortState>
  <tableColumns count="2">
    <tableColumn id="1" xr3:uid="{DBEA6A68-B862-4869-B856-BF79A3CE0901}" name="State" dataDxfId="6"/>
    <tableColumn id="2" xr3:uid="{18CB1486-1B0F-4B74-8312-D91540E1D259}" name="Total Vehicles" dataDxfId="5" dataCellStyle="Comm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0AD556C-E0C8-4B76-B67B-423EF4878DE2}" name="Table7" displayName="Table7" ref="E2:F12" totalsRowShown="0">
  <autoFilter ref="E2:F12" xr:uid="{20AD556C-E0C8-4B76-B67B-423EF4878DE2}"/>
  <sortState xmlns:xlrd2="http://schemas.microsoft.com/office/spreadsheetml/2017/richdata2" ref="E3:F12">
    <sortCondition ref="F2:F12"/>
  </sortState>
  <tableColumns count="2">
    <tableColumn id="1" xr3:uid="{0B787C5A-B184-4A36-A2B5-7C8D7E6D2ED8}" name="State"/>
    <tableColumn id="2" xr3:uid="{08922418-1055-4CE3-A859-237F2F966BCE}" name="Total Vehicles" dataDxfId="4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C85046-4956-451B-BF0D-E63886D981F2}" name="Table4" displayName="Table4" ref="B2:C7" totalsRowShown="0" headerRowDxfId="3">
  <autoFilter ref="B2:C7" xr:uid="{26C85046-4956-451B-BF0D-E63886D981F2}"/>
  <tableColumns count="2">
    <tableColumn id="1" xr3:uid="{D9C3D99B-1BCA-488D-9927-4527BB73A2B4}" name="State"/>
    <tableColumn id="2" xr3:uid="{32555F86-4208-4414-A1D4-C807B79B738B}" name="Electric (EV)" dataDxfId="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7539FC-CF11-4BA6-982B-FD9381228FC6}" name="Table5" displayName="Table5" ref="E2:F7" totalsRowShown="0" headerRowDxfId="1">
  <autoFilter ref="E2:F7" xr:uid="{3E7539FC-CF11-4BA6-982B-FD9381228FC6}"/>
  <sortState xmlns:xlrd2="http://schemas.microsoft.com/office/spreadsheetml/2017/richdata2" ref="E3:F7">
    <sortCondition ref="F2:F7"/>
  </sortState>
  <tableColumns count="2">
    <tableColumn id="1" xr3:uid="{BF95D6A5-0451-4088-8867-7544AE1C6E9D}" name="State"/>
    <tableColumn id="2" xr3:uid="{056B1635-869E-489D-BD65-CEE20DC5CCA8}" name="Electric (EV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D11F5-C8A4-444B-AFFA-C9920C669224}">
  <dimension ref="A1:M52"/>
  <sheetViews>
    <sheetView tabSelected="1" workbookViewId="0">
      <selection activeCell="D15" sqref="D15"/>
    </sheetView>
  </sheetViews>
  <sheetFormatPr defaultRowHeight="15" x14ac:dyDescent="0.25"/>
  <cols>
    <col min="1" max="1" width="18.7109375" bestFit="1" customWidth="1"/>
    <col min="2" max="2" width="13.7109375" customWidth="1"/>
    <col min="3" max="3" width="29.140625" customWidth="1"/>
    <col min="4" max="4" width="21.28515625" customWidth="1"/>
    <col min="5" max="5" width="11.42578125" customWidth="1"/>
    <col min="6" max="6" width="19.28515625" customWidth="1"/>
    <col min="7" max="7" width="30.7109375" customWidth="1"/>
    <col min="8" max="8" width="10.5703125" customWidth="1"/>
    <col min="9" max="9" width="11.7109375" customWidth="1"/>
    <col min="10" max="10" width="11.85546875" customWidth="1"/>
    <col min="11" max="11" width="11" customWidth="1"/>
    <col min="12" max="12" width="8.7109375" customWidth="1"/>
    <col min="13" max="13" width="16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13</v>
      </c>
      <c r="B2" s="1">
        <v>13000</v>
      </c>
      <c r="C2" s="1">
        <v>5800</v>
      </c>
      <c r="D2" s="1">
        <v>63300</v>
      </c>
      <c r="E2" s="1">
        <v>54200</v>
      </c>
      <c r="F2" s="1">
        <v>441200</v>
      </c>
      <c r="G2">
        <v>100</v>
      </c>
      <c r="H2">
        <v>100</v>
      </c>
      <c r="I2">
        <v>0</v>
      </c>
      <c r="J2">
        <v>0</v>
      </c>
      <c r="K2" s="1">
        <v>4102200</v>
      </c>
      <c r="L2" s="1">
        <v>127000</v>
      </c>
      <c r="M2" s="1">
        <v>29000</v>
      </c>
    </row>
    <row r="3" spans="1:13" x14ac:dyDescent="0.25">
      <c r="A3" t="s">
        <v>14</v>
      </c>
      <c r="B3" s="1">
        <v>2700</v>
      </c>
      <c r="C3">
        <v>900</v>
      </c>
      <c r="D3" s="1">
        <v>10600</v>
      </c>
      <c r="E3" s="1">
        <v>9600</v>
      </c>
      <c r="F3" s="1">
        <v>46800</v>
      </c>
      <c r="G3">
        <v>0</v>
      </c>
      <c r="H3">
        <v>0</v>
      </c>
      <c r="I3">
        <v>0</v>
      </c>
      <c r="J3">
        <v>0</v>
      </c>
      <c r="K3" s="1">
        <v>454300</v>
      </c>
      <c r="L3" s="1">
        <v>29800</v>
      </c>
      <c r="M3" s="1">
        <v>5100</v>
      </c>
    </row>
    <row r="4" spans="1:13" x14ac:dyDescent="0.25">
      <c r="A4" t="s">
        <v>15</v>
      </c>
      <c r="B4" s="1">
        <v>89800</v>
      </c>
      <c r="C4" s="1">
        <v>25600</v>
      </c>
      <c r="D4" s="1">
        <v>175700</v>
      </c>
      <c r="E4" s="1">
        <v>68600</v>
      </c>
      <c r="F4" s="1">
        <v>437100</v>
      </c>
      <c r="G4">
        <v>600</v>
      </c>
      <c r="H4">
        <v>700</v>
      </c>
      <c r="I4">
        <v>0</v>
      </c>
      <c r="J4">
        <v>0</v>
      </c>
      <c r="K4" s="1">
        <v>5469000</v>
      </c>
      <c r="L4" s="1">
        <v>197700</v>
      </c>
      <c r="M4" s="1">
        <v>64200</v>
      </c>
    </row>
    <row r="5" spans="1:13" x14ac:dyDescent="0.25">
      <c r="A5" t="s">
        <v>16</v>
      </c>
      <c r="B5" s="1">
        <v>7100</v>
      </c>
      <c r="C5" s="1">
        <v>3200</v>
      </c>
      <c r="D5" s="1">
        <v>37000</v>
      </c>
      <c r="E5" s="1">
        <v>37000</v>
      </c>
      <c r="F5" s="1">
        <v>276700</v>
      </c>
      <c r="G5">
        <v>200</v>
      </c>
      <c r="H5">
        <v>0</v>
      </c>
      <c r="I5">
        <v>0</v>
      </c>
      <c r="J5">
        <v>0</v>
      </c>
      <c r="K5" s="1">
        <v>2246100</v>
      </c>
      <c r="L5" s="1">
        <v>90700</v>
      </c>
      <c r="M5" s="1">
        <v>10300</v>
      </c>
    </row>
    <row r="6" spans="1:13" x14ac:dyDescent="0.25">
      <c r="A6" t="s">
        <v>17</v>
      </c>
      <c r="B6" s="1">
        <v>1256600</v>
      </c>
      <c r="C6" s="1">
        <v>410700</v>
      </c>
      <c r="D6" s="1">
        <v>1703200</v>
      </c>
      <c r="E6" s="1">
        <v>201600</v>
      </c>
      <c r="F6" s="1">
        <v>1314600</v>
      </c>
      <c r="G6" s="1">
        <v>10100</v>
      </c>
      <c r="H6" s="1">
        <v>1500</v>
      </c>
      <c r="I6" s="1">
        <v>16900</v>
      </c>
      <c r="J6">
        <v>0</v>
      </c>
      <c r="K6" s="1">
        <v>31191900</v>
      </c>
      <c r="L6" s="1">
        <v>735300</v>
      </c>
      <c r="M6" s="1">
        <v>7900</v>
      </c>
    </row>
    <row r="7" spans="1:13" x14ac:dyDescent="0.25">
      <c r="A7" t="s">
        <v>18</v>
      </c>
      <c r="B7" s="1">
        <v>90100</v>
      </c>
      <c r="C7" s="1">
        <v>37500</v>
      </c>
      <c r="D7" s="1">
        <v>152700</v>
      </c>
      <c r="E7" s="1">
        <v>68100</v>
      </c>
      <c r="F7" s="1">
        <v>334300</v>
      </c>
      <c r="G7">
        <v>300</v>
      </c>
      <c r="H7">
        <v>100</v>
      </c>
      <c r="I7">
        <v>0</v>
      </c>
      <c r="J7">
        <v>0</v>
      </c>
      <c r="K7" s="1">
        <v>4508800</v>
      </c>
      <c r="L7" s="1">
        <v>203400</v>
      </c>
      <c r="M7" s="1">
        <v>46500</v>
      </c>
    </row>
    <row r="8" spans="1:13" x14ac:dyDescent="0.25">
      <c r="A8" t="s">
        <v>19</v>
      </c>
      <c r="B8" s="1">
        <v>31600</v>
      </c>
      <c r="C8" s="1">
        <v>18400</v>
      </c>
      <c r="D8" s="1">
        <v>75300</v>
      </c>
      <c r="E8" s="1">
        <v>10900</v>
      </c>
      <c r="F8" s="1">
        <v>133600</v>
      </c>
      <c r="G8">
        <v>100</v>
      </c>
      <c r="H8">
        <v>0</v>
      </c>
      <c r="I8">
        <v>0</v>
      </c>
      <c r="J8">
        <v>0</v>
      </c>
      <c r="K8" s="1">
        <v>2612600</v>
      </c>
      <c r="L8" s="1">
        <v>42300</v>
      </c>
      <c r="M8" s="1">
        <v>20900</v>
      </c>
    </row>
    <row r="9" spans="1:13" x14ac:dyDescent="0.25">
      <c r="A9" t="s">
        <v>20</v>
      </c>
      <c r="B9" s="1">
        <v>8400</v>
      </c>
      <c r="C9" s="1">
        <v>3800</v>
      </c>
      <c r="D9" s="1">
        <v>22900</v>
      </c>
      <c r="E9" s="1">
        <v>5100</v>
      </c>
      <c r="F9" s="1">
        <v>63900</v>
      </c>
      <c r="G9">
        <v>0</v>
      </c>
      <c r="H9">
        <v>0</v>
      </c>
      <c r="I9">
        <v>0</v>
      </c>
      <c r="J9">
        <v>0</v>
      </c>
      <c r="K9" s="1">
        <v>791300</v>
      </c>
      <c r="L9" s="1">
        <v>14200</v>
      </c>
      <c r="M9" s="1">
        <v>5100</v>
      </c>
    </row>
    <row r="10" spans="1:13" x14ac:dyDescent="0.25">
      <c r="A10" t="s">
        <v>21</v>
      </c>
      <c r="B10" s="1">
        <v>8100</v>
      </c>
      <c r="C10" s="1">
        <v>3700</v>
      </c>
      <c r="D10" s="1">
        <v>18100</v>
      </c>
      <c r="E10">
        <v>400</v>
      </c>
      <c r="F10" s="1">
        <v>16800</v>
      </c>
      <c r="G10">
        <v>100</v>
      </c>
      <c r="H10">
        <v>0</v>
      </c>
      <c r="I10">
        <v>0</v>
      </c>
      <c r="J10">
        <v>0</v>
      </c>
      <c r="K10" s="1">
        <v>262500</v>
      </c>
      <c r="L10" s="1">
        <v>1800</v>
      </c>
      <c r="M10">
        <v>600</v>
      </c>
    </row>
    <row r="11" spans="1:13" x14ac:dyDescent="0.25">
      <c r="A11" t="s">
        <v>22</v>
      </c>
      <c r="B11" s="1">
        <v>254900</v>
      </c>
      <c r="C11" s="1">
        <v>57300</v>
      </c>
      <c r="D11" s="1">
        <v>414500</v>
      </c>
      <c r="E11" s="1">
        <v>170500</v>
      </c>
      <c r="F11" s="1">
        <v>1101100</v>
      </c>
      <c r="G11">
        <v>400</v>
      </c>
      <c r="H11">
        <v>100</v>
      </c>
      <c r="I11">
        <v>0</v>
      </c>
      <c r="J11">
        <v>0</v>
      </c>
      <c r="K11" s="1">
        <v>16136500</v>
      </c>
      <c r="L11" s="1">
        <v>351800</v>
      </c>
      <c r="M11" s="1">
        <v>96100</v>
      </c>
    </row>
    <row r="12" spans="1:13" x14ac:dyDescent="0.25">
      <c r="A12" t="s">
        <v>23</v>
      </c>
      <c r="B12" s="1">
        <v>92400</v>
      </c>
      <c r="C12" s="1">
        <v>22700</v>
      </c>
      <c r="D12" s="1">
        <v>175300</v>
      </c>
      <c r="E12" s="1">
        <v>92500</v>
      </c>
      <c r="F12" s="1">
        <v>719400</v>
      </c>
      <c r="G12">
        <v>300</v>
      </c>
      <c r="H12">
        <v>200</v>
      </c>
      <c r="I12">
        <v>0</v>
      </c>
      <c r="J12">
        <v>0</v>
      </c>
      <c r="K12" s="1">
        <v>8256400</v>
      </c>
      <c r="L12" s="1">
        <v>206300</v>
      </c>
      <c r="M12" s="1">
        <v>76900</v>
      </c>
    </row>
    <row r="13" spans="1:13" x14ac:dyDescent="0.25">
      <c r="A13" t="s">
        <v>24</v>
      </c>
      <c r="B13" s="1">
        <v>25600</v>
      </c>
      <c r="C13" s="1">
        <v>7300</v>
      </c>
      <c r="D13" s="1">
        <v>36400</v>
      </c>
      <c r="E13" s="1">
        <v>3400</v>
      </c>
      <c r="F13" s="1">
        <v>37300</v>
      </c>
      <c r="G13">
        <v>0</v>
      </c>
      <c r="H13">
        <v>0</v>
      </c>
      <c r="I13">
        <v>0</v>
      </c>
      <c r="J13">
        <v>0</v>
      </c>
      <c r="K13" s="1">
        <v>951000</v>
      </c>
      <c r="L13" s="1">
        <v>15400</v>
      </c>
      <c r="M13" s="1">
        <v>3700</v>
      </c>
    </row>
    <row r="14" spans="1:13" x14ac:dyDescent="0.25">
      <c r="A14" t="s">
        <v>25</v>
      </c>
      <c r="B14" s="1">
        <v>8500</v>
      </c>
      <c r="C14" s="1">
        <v>4600</v>
      </c>
      <c r="D14" s="1">
        <v>43700</v>
      </c>
      <c r="E14" s="1">
        <v>45900</v>
      </c>
      <c r="F14" s="1">
        <v>132900</v>
      </c>
      <c r="G14">
        <v>100</v>
      </c>
      <c r="H14">
        <v>100</v>
      </c>
      <c r="I14">
        <v>0</v>
      </c>
      <c r="J14">
        <v>0</v>
      </c>
      <c r="K14" s="1">
        <v>1568600</v>
      </c>
      <c r="L14" s="1">
        <v>138600</v>
      </c>
      <c r="M14" s="1">
        <v>31600</v>
      </c>
    </row>
    <row r="15" spans="1:13" x14ac:dyDescent="0.25">
      <c r="A15" t="s">
        <v>26</v>
      </c>
      <c r="B15" s="1">
        <v>99600</v>
      </c>
      <c r="C15" s="1">
        <v>33400</v>
      </c>
      <c r="D15" s="1">
        <v>285400</v>
      </c>
      <c r="E15" s="1">
        <v>61500</v>
      </c>
      <c r="F15" s="1">
        <v>772900</v>
      </c>
      <c r="G15">
        <v>300</v>
      </c>
      <c r="H15">
        <v>0</v>
      </c>
      <c r="I15">
        <v>0</v>
      </c>
      <c r="J15">
        <v>0</v>
      </c>
      <c r="K15" s="1">
        <v>8560300</v>
      </c>
      <c r="L15" s="1">
        <v>170200</v>
      </c>
      <c r="M15" s="1">
        <v>59600</v>
      </c>
    </row>
    <row r="16" spans="1:13" x14ac:dyDescent="0.25">
      <c r="A16" t="s">
        <v>27</v>
      </c>
      <c r="B16" s="1">
        <v>26100</v>
      </c>
      <c r="C16" s="1">
        <v>12900</v>
      </c>
      <c r="D16" s="1">
        <v>119100</v>
      </c>
      <c r="E16" s="1">
        <v>56300</v>
      </c>
      <c r="F16" s="1">
        <v>576300</v>
      </c>
      <c r="G16">
        <v>300</v>
      </c>
      <c r="H16">
        <v>0</v>
      </c>
      <c r="I16">
        <v>0</v>
      </c>
      <c r="J16">
        <v>0</v>
      </c>
      <c r="K16" s="1">
        <v>5166200</v>
      </c>
      <c r="L16" s="1">
        <v>156400</v>
      </c>
      <c r="M16" s="1">
        <v>58500</v>
      </c>
    </row>
    <row r="17" spans="1:13" x14ac:dyDescent="0.25">
      <c r="A17" t="s">
        <v>28</v>
      </c>
      <c r="B17" s="1">
        <v>9000</v>
      </c>
      <c r="C17" s="1">
        <v>6100</v>
      </c>
      <c r="D17" s="1">
        <v>57200</v>
      </c>
      <c r="E17" s="1">
        <v>41700</v>
      </c>
      <c r="F17" s="1">
        <v>331300</v>
      </c>
      <c r="G17">
        <v>100</v>
      </c>
      <c r="H17">
        <v>0</v>
      </c>
      <c r="I17">
        <v>0</v>
      </c>
      <c r="J17">
        <v>0</v>
      </c>
      <c r="K17" s="1">
        <v>2545400</v>
      </c>
      <c r="L17" s="1">
        <v>105000</v>
      </c>
      <c r="M17" s="1">
        <v>57500</v>
      </c>
    </row>
    <row r="18" spans="1:13" x14ac:dyDescent="0.25">
      <c r="A18" t="s">
        <v>29</v>
      </c>
      <c r="B18" s="1">
        <v>11300</v>
      </c>
      <c r="C18" s="1">
        <v>5600</v>
      </c>
      <c r="D18" s="1">
        <v>50400</v>
      </c>
      <c r="E18" s="1">
        <v>27900</v>
      </c>
      <c r="F18" s="1">
        <v>253500</v>
      </c>
      <c r="G18">
        <v>200</v>
      </c>
      <c r="H18">
        <v>100</v>
      </c>
      <c r="I18">
        <v>0</v>
      </c>
      <c r="J18">
        <v>0</v>
      </c>
      <c r="K18" s="1">
        <v>2168600</v>
      </c>
      <c r="L18" s="1">
        <v>87400</v>
      </c>
      <c r="M18" s="1">
        <v>16100</v>
      </c>
    </row>
    <row r="19" spans="1:13" x14ac:dyDescent="0.25">
      <c r="A19" t="s">
        <v>30</v>
      </c>
      <c r="B19" s="1">
        <v>11600</v>
      </c>
      <c r="C19" s="1">
        <v>5600</v>
      </c>
      <c r="D19" s="1">
        <v>67100</v>
      </c>
      <c r="E19" s="1">
        <v>36900</v>
      </c>
      <c r="F19" s="1">
        <v>361200</v>
      </c>
      <c r="G19">
        <v>300</v>
      </c>
      <c r="H19">
        <v>0</v>
      </c>
      <c r="I19">
        <v>0</v>
      </c>
      <c r="J19">
        <v>0</v>
      </c>
      <c r="K19" s="1">
        <v>3415000</v>
      </c>
      <c r="L19" s="1">
        <v>117600</v>
      </c>
      <c r="M19" s="1">
        <v>24400</v>
      </c>
    </row>
    <row r="20" spans="1:13" x14ac:dyDescent="0.25">
      <c r="A20" t="s">
        <v>31</v>
      </c>
      <c r="B20" s="1">
        <v>8200</v>
      </c>
      <c r="C20" s="1">
        <v>4000</v>
      </c>
      <c r="D20" s="1">
        <v>40200</v>
      </c>
      <c r="E20" s="1">
        <v>64200</v>
      </c>
      <c r="F20" s="1">
        <v>380100</v>
      </c>
      <c r="G20">
        <v>100</v>
      </c>
      <c r="H20">
        <v>0</v>
      </c>
      <c r="I20">
        <v>0</v>
      </c>
      <c r="J20">
        <v>0</v>
      </c>
      <c r="K20" s="1">
        <v>3142800</v>
      </c>
      <c r="L20" s="1">
        <v>115500</v>
      </c>
      <c r="M20" s="1">
        <v>19100</v>
      </c>
    </row>
    <row r="21" spans="1:13" x14ac:dyDescent="0.25">
      <c r="A21" t="s">
        <v>32</v>
      </c>
      <c r="B21" s="1">
        <v>7400</v>
      </c>
      <c r="C21" s="1">
        <v>7600</v>
      </c>
      <c r="D21" s="1">
        <v>33600</v>
      </c>
      <c r="E21" s="1">
        <v>12000</v>
      </c>
      <c r="F21" s="1">
        <v>104500</v>
      </c>
      <c r="G21">
        <v>0</v>
      </c>
      <c r="H21">
        <v>0</v>
      </c>
      <c r="I21">
        <v>0</v>
      </c>
      <c r="J21">
        <v>0</v>
      </c>
      <c r="K21" s="1">
        <v>1036100</v>
      </c>
      <c r="L21" s="1">
        <v>26900</v>
      </c>
      <c r="M21" s="1">
        <v>7900</v>
      </c>
    </row>
    <row r="22" spans="1:13" x14ac:dyDescent="0.25">
      <c r="A22" t="s">
        <v>33</v>
      </c>
      <c r="B22" s="1">
        <v>72100</v>
      </c>
      <c r="C22" s="1">
        <v>31300</v>
      </c>
      <c r="D22" s="1">
        <v>168700</v>
      </c>
      <c r="E22" s="1">
        <v>32100</v>
      </c>
      <c r="F22" s="1">
        <v>309300</v>
      </c>
      <c r="G22">
        <v>300</v>
      </c>
      <c r="H22">
        <v>0</v>
      </c>
      <c r="I22">
        <v>0</v>
      </c>
      <c r="J22">
        <v>0</v>
      </c>
      <c r="K22" s="1">
        <v>4327800</v>
      </c>
      <c r="L22" s="1">
        <v>86900</v>
      </c>
      <c r="M22" s="1">
        <v>31500</v>
      </c>
    </row>
    <row r="23" spans="1:13" x14ac:dyDescent="0.25">
      <c r="A23" t="s">
        <v>34</v>
      </c>
      <c r="B23" s="1">
        <v>73800</v>
      </c>
      <c r="C23" s="1">
        <v>43800</v>
      </c>
      <c r="D23" s="1">
        <v>187300</v>
      </c>
      <c r="E23" s="1">
        <v>21300</v>
      </c>
      <c r="F23" s="1">
        <v>285000</v>
      </c>
      <c r="G23">
        <v>200</v>
      </c>
      <c r="H23">
        <v>0</v>
      </c>
      <c r="I23">
        <v>0</v>
      </c>
      <c r="J23">
        <v>0</v>
      </c>
      <c r="K23" s="1">
        <v>4791300</v>
      </c>
      <c r="L23" s="1">
        <v>58400</v>
      </c>
      <c r="M23" s="1">
        <v>30000</v>
      </c>
    </row>
    <row r="24" spans="1:13" x14ac:dyDescent="0.25">
      <c r="A24" t="s">
        <v>35</v>
      </c>
      <c r="B24" s="1">
        <v>50300</v>
      </c>
      <c r="C24" s="1">
        <v>29100</v>
      </c>
      <c r="D24" s="1">
        <v>148100</v>
      </c>
      <c r="E24" s="1">
        <v>70400</v>
      </c>
      <c r="F24" s="1">
        <v>873700</v>
      </c>
      <c r="G24">
        <v>300</v>
      </c>
      <c r="H24">
        <v>0</v>
      </c>
      <c r="I24">
        <v>0</v>
      </c>
      <c r="J24">
        <v>0</v>
      </c>
      <c r="K24" s="1">
        <v>7129600</v>
      </c>
      <c r="L24" s="1">
        <v>174500</v>
      </c>
      <c r="M24" s="1">
        <v>49400</v>
      </c>
    </row>
    <row r="25" spans="1:13" x14ac:dyDescent="0.25">
      <c r="A25" t="s">
        <v>36</v>
      </c>
      <c r="B25" s="1">
        <v>37100</v>
      </c>
      <c r="C25" s="1">
        <v>16100</v>
      </c>
      <c r="D25" s="1">
        <v>124500</v>
      </c>
      <c r="E25" s="1">
        <v>52700</v>
      </c>
      <c r="F25" s="1">
        <v>516400</v>
      </c>
      <c r="G25">
        <v>100</v>
      </c>
      <c r="H25">
        <v>0</v>
      </c>
      <c r="I25">
        <v>0</v>
      </c>
      <c r="J25">
        <v>0</v>
      </c>
      <c r="K25" s="1">
        <v>4219200</v>
      </c>
      <c r="L25" s="1">
        <v>127900</v>
      </c>
      <c r="M25" s="1">
        <v>24500</v>
      </c>
    </row>
    <row r="26" spans="1:13" x14ac:dyDescent="0.25">
      <c r="A26" t="s">
        <v>37</v>
      </c>
      <c r="B26" s="1">
        <v>3600</v>
      </c>
      <c r="C26" s="1">
        <v>2000</v>
      </c>
      <c r="D26" s="1">
        <v>28200</v>
      </c>
      <c r="E26" s="1">
        <v>34900</v>
      </c>
      <c r="F26" s="1">
        <v>295200</v>
      </c>
      <c r="G26">
        <v>100</v>
      </c>
      <c r="H26">
        <v>0</v>
      </c>
      <c r="I26">
        <v>0</v>
      </c>
      <c r="J26">
        <v>0</v>
      </c>
      <c r="K26" s="1">
        <v>2275600</v>
      </c>
      <c r="L26" s="1">
        <v>75200</v>
      </c>
      <c r="M26" s="1">
        <v>8500</v>
      </c>
    </row>
    <row r="27" spans="1:13" x14ac:dyDescent="0.25">
      <c r="A27" t="s">
        <v>38</v>
      </c>
      <c r="B27" s="1">
        <v>26900</v>
      </c>
      <c r="C27" s="1">
        <v>13900</v>
      </c>
      <c r="D27" s="1">
        <v>113900</v>
      </c>
      <c r="E27" s="1">
        <v>70400</v>
      </c>
      <c r="F27" s="1">
        <v>575500</v>
      </c>
      <c r="G27">
        <v>900</v>
      </c>
      <c r="H27">
        <v>100</v>
      </c>
      <c r="I27">
        <v>0</v>
      </c>
      <c r="J27">
        <v>0</v>
      </c>
      <c r="K27" s="1">
        <v>4608600</v>
      </c>
      <c r="L27" s="1">
        <v>178200</v>
      </c>
      <c r="M27" s="1">
        <v>37600</v>
      </c>
    </row>
    <row r="28" spans="1:13" x14ac:dyDescent="0.25">
      <c r="A28" t="s">
        <v>39</v>
      </c>
      <c r="B28" s="1">
        <v>4600</v>
      </c>
      <c r="C28" s="1">
        <v>2500</v>
      </c>
      <c r="D28" s="1">
        <v>21100</v>
      </c>
      <c r="E28" s="1">
        <v>37900</v>
      </c>
      <c r="F28" s="1">
        <v>94500</v>
      </c>
      <c r="G28">
        <v>0</v>
      </c>
      <c r="H28">
        <v>0</v>
      </c>
      <c r="I28">
        <v>0</v>
      </c>
      <c r="J28">
        <v>0</v>
      </c>
      <c r="K28" s="1">
        <v>780700</v>
      </c>
      <c r="L28" s="1">
        <v>69600</v>
      </c>
      <c r="M28" s="1">
        <v>10800</v>
      </c>
    </row>
    <row r="29" spans="1:13" x14ac:dyDescent="0.25">
      <c r="A29" t="s">
        <v>40</v>
      </c>
      <c r="B29" s="1">
        <v>6900</v>
      </c>
      <c r="C29" s="1">
        <v>3800</v>
      </c>
      <c r="D29" s="1">
        <v>32600</v>
      </c>
      <c r="E29" s="1">
        <v>28900</v>
      </c>
      <c r="F29" s="1">
        <v>197100</v>
      </c>
      <c r="G29">
        <v>100</v>
      </c>
      <c r="H29">
        <v>0</v>
      </c>
      <c r="I29">
        <v>0</v>
      </c>
      <c r="J29">
        <v>0</v>
      </c>
      <c r="K29" s="1">
        <v>1600400</v>
      </c>
      <c r="L29" s="1">
        <v>76100</v>
      </c>
      <c r="M29" s="1">
        <v>25300</v>
      </c>
    </row>
    <row r="30" spans="1:13" x14ac:dyDescent="0.25">
      <c r="A30" t="s">
        <v>41</v>
      </c>
      <c r="B30" s="1">
        <v>47400</v>
      </c>
      <c r="C30" s="1">
        <v>10600</v>
      </c>
      <c r="D30" s="1">
        <v>69600</v>
      </c>
      <c r="E30" s="1">
        <v>27200</v>
      </c>
      <c r="F30" s="1">
        <v>125600</v>
      </c>
      <c r="G30">
        <v>200</v>
      </c>
      <c r="H30">
        <v>100</v>
      </c>
      <c r="I30">
        <v>0</v>
      </c>
      <c r="J30">
        <v>0</v>
      </c>
      <c r="K30" s="1">
        <v>2169300</v>
      </c>
      <c r="L30" s="1">
        <v>85800</v>
      </c>
      <c r="M30" s="1">
        <v>20300</v>
      </c>
    </row>
    <row r="31" spans="1:13" x14ac:dyDescent="0.25">
      <c r="A31" t="s">
        <v>42</v>
      </c>
      <c r="B31" s="1">
        <v>9900</v>
      </c>
      <c r="C31" s="1">
        <v>6600</v>
      </c>
      <c r="D31" s="1">
        <v>36800</v>
      </c>
      <c r="E31" s="1">
        <v>13900</v>
      </c>
      <c r="F31" s="1">
        <v>89600</v>
      </c>
      <c r="G31">
        <v>100</v>
      </c>
      <c r="H31">
        <v>0</v>
      </c>
      <c r="I31">
        <v>0</v>
      </c>
      <c r="J31">
        <v>0</v>
      </c>
      <c r="K31" s="1">
        <v>1185300</v>
      </c>
      <c r="L31" s="1">
        <v>29200</v>
      </c>
      <c r="M31" s="1">
        <v>12300</v>
      </c>
    </row>
    <row r="32" spans="1:13" x14ac:dyDescent="0.25">
      <c r="A32" t="s">
        <v>43</v>
      </c>
      <c r="B32" s="1">
        <v>134800</v>
      </c>
      <c r="C32" s="1">
        <v>40900</v>
      </c>
      <c r="D32" s="1">
        <v>174200</v>
      </c>
      <c r="E32" s="1">
        <v>27800</v>
      </c>
      <c r="F32" s="1">
        <v>392100</v>
      </c>
      <c r="G32">
        <v>300</v>
      </c>
      <c r="H32">
        <v>0</v>
      </c>
      <c r="I32">
        <v>0</v>
      </c>
      <c r="J32">
        <v>0</v>
      </c>
      <c r="K32" s="1">
        <v>6433000</v>
      </c>
      <c r="L32" s="1">
        <v>84600</v>
      </c>
      <c r="M32" s="1">
        <v>36400</v>
      </c>
    </row>
    <row r="33" spans="1:13" x14ac:dyDescent="0.25">
      <c r="A33" t="s">
        <v>44</v>
      </c>
      <c r="B33" s="1">
        <v>10300</v>
      </c>
      <c r="C33" s="1">
        <v>4900</v>
      </c>
      <c r="D33" s="1">
        <v>44300</v>
      </c>
      <c r="E33" s="1">
        <v>32100</v>
      </c>
      <c r="F33" s="1">
        <v>151600</v>
      </c>
      <c r="G33">
        <v>100</v>
      </c>
      <c r="H33">
        <v>100</v>
      </c>
      <c r="I33">
        <v>0</v>
      </c>
      <c r="J33">
        <v>0</v>
      </c>
      <c r="K33" s="1">
        <v>1597600</v>
      </c>
      <c r="L33" s="1">
        <v>88500</v>
      </c>
      <c r="M33" s="1">
        <v>22900</v>
      </c>
    </row>
    <row r="34" spans="1:13" x14ac:dyDescent="0.25">
      <c r="A34" t="s">
        <v>45</v>
      </c>
      <c r="B34" s="1">
        <v>131300</v>
      </c>
      <c r="C34" s="1">
        <v>92300</v>
      </c>
      <c r="D34" s="1">
        <v>314000</v>
      </c>
      <c r="E34" s="1">
        <v>54300</v>
      </c>
      <c r="F34" s="1">
        <v>591100</v>
      </c>
      <c r="G34">
        <v>400</v>
      </c>
      <c r="H34">
        <v>100</v>
      </c>
      <c r="I34">
        <v>0</v>
      </c>
      <c r="J34">
        <v>0</v>
      </c>
      <c r="K34" s="1">
        <v>9905500</v>
      </c>
      <c r="L34" s="1">
        <v>150500</v>
      </c>
      <c r="M34" s="1">
        <v>79100</v>
      </c>
    </row>
    <row r="35" spans="1:13" x14ac:dyDescent="0.25">
      <c r="A35" t="s">
        <v>46</v>
      </c>
      <c r="B35" s="1">
        <v>70200</v>
      </c>
      <c r="C35" s="1">
        <v>23700</v>
      </c>
      <c r="D35" s="1">
        <v>210600</v>
      </c>
      <c r="E35" s="1">
        <v>80200</v>
      </c>
      <c r="F35" s="1">
        <v>655000</v>
      </c>
      <c r="G35">
        <v>300</v>
      </c>
      <c r="H35">
        <v>100</v>
      </c>
      <c r="I35">
        <v>0</v>
      </c>
      <c r="J35">
        <v>0</v>
      </c>
      <c r="K35" s="1">
        <v>7764000</v>
      </c>
      <c r="L35" s="1">
        <v>209700</v>
      </c>
      <c r="M35" s="1">
        <v>71700</v>
      </c>
    </row>
    <row r="36" spans="1:13" x14ac:dyDescent="0.25">
      <c r="A36" t="s">
        <v>47</v>
      </c>
      <c r="B36" s="1">
        <v>1000</v>
      </c>
      <c r="C36">
        <v>800</v>
      </c>
      <c r="D36" s="1">
        <v>8200</v>
      </c>
      <c r="E36" s="1">
        <v>20400</v>
      </c>
      <c r="F36" s="1">
        <v>89900</v>
      </c>
      <c r="G36">
        <v>0</v>
      </c>
      <c r="H36">
        <v>0</v>
      </c>
      <c r="I36">
        <v>0</v>
      </c>
      <c r="J36">
        <v>0</v>
      </c>
      <c r="K36" s="1">
        <v>625300</v>
      </c>
      <c r="L36" s="1">
        <v>44600</v>
      </c>
      <c r="M36" s="1">
        <v>7200</v>
      </c>
    </row>
    <row r="37" spans="1:13" x14ac:dyDescent="0.25">
      <c r="A37" t="s">
        <v>48</v>
      </c>
      <c r="B37" s="1">
        <v>50400</v>
      </c>
      <c r="C37" s="1">
        <v>24000</v>
      </c>
      <c r="D37" s="1">
        <v>199800</v>
      </c>
      <c r="E37" s="1">
        <v>70300</v>
      </c>
      <c r="F37" s="1">
        <v>833500</v>
      </c>
      <c r="G37">
        <v>700</v>
      </c>
      <c r="H37">
        <v>100</v>
      </c>
      <c r="I37">
        <v>0</v>
      </c>
      <c r="J37">
        <v>0</v>
      </c>
      <c r="K37" s="1">
        <v>8881400</v>
      </c>
      <c r="L37" s="1">
        <v>196200</v>
      </c>
      <c r="M37" s="1">
        <v>60900</v>
      </c>
    </row>
    <row r="38" spans="1:13" x14ac:dyDescent="0.25">
      <c r="A38" t="s">
        <v>49</v>
      </c>
      <c r="B38" s="1">
        <v>22800</v>
      </c>
      <c r="C38" s="1">
        <v>33000</v>
      </c>
      <c r="D38" s="1">
        <v>56400</v>
      </c>
      <c r="E38" s="1">
        <v>63100</v>
      </c>
      <c r="F38" s="1">
        <v>352400</v>
      </c>
      <c r="G38" s="1">
        <v>1800</v>
      </c>
      <c r="H38">
        <v>200</v>
      </c>
      <c r="I38">
        <v>0</v>
      </c>
      <c r="J38">
        <v>0</v>
      </c>
      <c r="K38" s="1">
        <v>3567500</v>
      </c>
      <c r="L38" s="1">
        <v>145700</v>
      </c>
      <c r="M38" s="1">
        <v>45000</v>
      </c>
    </row>
    <row r="39" spans="1:13" x14ac:dyDescent="0.25">
      <c r="A39" t="s">
        <v>50</v>
      </c>
      <c r="B39" s="1">
        <v>64400</v>
      </c>
      <c r="C39" s="1">
        <v>28800</v>
      </c>
      <c r="D39" s="1">
        <v>156900</v>
      </c>
      <c r="E39" s="1">
        <v>55500</v>
      </c>
      <c r="F39" s="1">
        <v>184600</v>
      </c>
      <c r="G39">
        <v>100</v>
      </c>
      <c r="H39">
        <v>100</v>
      </c>
      <c r="I39">
        <v>0</v>
      </c>
      <c r="J39">
        <v>0</v>
      </c>
      <c r="K39" s="1">
        <v>3074300</v>
      </c>
      <c r="L39" s="1">
        <v>217000</v>
      </c>
      <c r="M39" s="1">
        <v>51000</v>
      </c>
    </row>
    <row r="40" spans="1:13" x14ac:dyDescent="0.25">
      <c r="A40" t="s">
        <v>51</v>
      </c>
      <c r="B40" s="1">
        <v>70200</v>
      </c>
      <c r="C40" s="1">
        <v>38900</v>
      </c>
      <c r="D40" s="1">
        <v>245400</v>
      </c>
      <c r="E40" s="1">
        <v>73900</v>
      </c>
      <c r="F40" s="1">
        <v>661700</v>
      </c>
      <c r="G40">
        <v>500</v>
      </c>
      <c r="H40">
        <v>100</v>
      </c>
      <c r="I40">
        <v>0</v>
      </c>
      <c r="J40">
        <v>0</v>
      </c>
      <c r="K40" s="1">
        <v>8886400</v>
      </c>
      <c r="L40" s="1">
        <v>192100</v>
      </c>
      <c r="M40" s="1">
        <v>41800</v>
      </c>
    </row>
    <row r="41" spans="1:13" x14ac:dyDescent="0.25">
      <c r="A41" t="s">
        <v>52</v>
      </c>
      <c r="B41" s="1">
        <v>6400</v>
      </c>
      <c r="C41" s="1">
        <v>5100</v>
      </c>
      <c r="D41" s="1">
        <v>22100</v>
      </c>
      <c r="E41" s="1">
        <v>3100</v>
      </c>
      <c r="F41" s="1">
        <v>41900</v>
      </c>
      <c r="G41">
        <v>0</v>
      </c>
      <c r="H41">
        <v>0</v>
      </c>
      <c r="I41">
        <v>0</v>
      </c>
      <c r="J41">
        <v>0</v>
      </c>
      <c r="K41" s="1">
        <v>782000</v>
      </c>
      <c r="L41" s="1">
        <v>11000</v>
      </c>
      <c r="M41" s="1">
        <v>6000</v>
      </c>
    </row>
    <row r="42" spans="1:13" x14ac:dyDescent="0.25">
      <c r="A42" t="s">
        <v>53</v>
      </c>
      <c r="B42" s="1">
        <v>20900</v>
      </c>
      <c r="C42" s="1">
        <v>9000</v>
      </c>
      <c r="D42" s="1">
        <v>83100</v>
      </c>
      <c r="E42" s="1">
        <v>44600</v>
      </c>
      <c r="F42" s="1">
        <v>404600</v>
      </c>
      <c r="G42">
        <v>100</v>
      </c>
      <c r="H42">
        <v>100</v>
      </c>
      <c r="I42">
        <v>0</v>
      </c>
      <c r="J42">
        <v>0</v>
      </c>
      <c r="K42" s="1">
        <v>4325000</v>
      </c>
      <c r="L42" s="1">
        <v>110100</v>
      </c>
      <c r="M42" s="1">
        <v>44900</v>
      </c>
    </row>
    <row r="43" spans="1:13" x14ac:dyDescent="0.25">
      <c r="A43" t="s">
        <v>54</v>
      </c>
      <c r="B43" s="1">
        <v>1700</v>
      </c>
      <c r="C43" s="1">
        <v>1300</v>
      </c>
      <c r="D43" s="1">
        <v>11900</v>
      </c>
      <c r="E43" s="1">
        <v>21500</v>
      </c>
      <c r="F43" s="1">
        <v>98800</v>
      </c>
      <c r="G43">
        <v>0</v>
      </c>
      <c r="H43">
        <v>0</v>
      </c>
      <c r="I43">
        <v>0</v>
      </c>
      <c r="J43">
        <v>0</v>
      </c>
      <c r="K43" s="1">
        <v>718300</v>
      </c>
      <c r="L43" s="1">
        <v>51200</v>
      </c>
      <c r="M43" s="1">
        <v>13300</v>
      </c>
    </row>
    <row r="44" spans="1:13" x14ac:dyDescent="0.25">
      <c r="A44" t="s">
        <v>55</v>
      </c>
      <c r="B44" s="1">
        <v>33200</v>
      </c>
      <c r="C44" s="1">
        <v>11000</v>
      </c>
      <c r="D44" s="1">
        <v>113300</v>
      </c>
      <c r="E44" s="1">
        <v>53100</v>
      </c>
      <c r="F44" s="1">
        <v>509000</v>
      </c>
      <c r="G44">
        <v>200</v>
      </c>
      <c r="H44">
        <v>100</v>
      </c>
      <c r="I44">
        <v>0</v>
      </c>
      <c r="J44">
        <v>0</v>
      </c>
      <c r="K44" s="1">
        <v>5620500</v>
      </c>
      <c r="L44" s="1">
        <v>160700</v>
      </c>
      <c r="M44" s="1">
        <v>37700</v>
      </c>
    </row>
    <row r="45" spans="1:13" x14ac:dyDescent="0.25">
      <c r="A45" t="s">
        <v>56</v>
      </c>
      <c r="B45" s="1">
        <v>230100</v>
      </c>
      <c r="C45" s="1">
        <v>55300</v>
      </c>
      <c r="D45" s="1">
        <v>445100</v>
      </c>
      <c r="E45" s="1">
        <v>460700</v>
      </c>
      <c r="F45" s="1">
        <v>2315400</v>
      </c>
      <c r="G45" s="1">
        <v>1300</v>
      </c>
      <c r="H45" s="1">
        <v>1300</v>
      </c>
      <c r="I45">
        <v>0</v>
      </c>
      <c r="J45">
        <v>0</v>
      </c>
      <c r="K45" s="1">
        <v>21392800</v>
      </c>
      <c r="L45" s="1">
        <v>772800</v>
      </c>
      <c r="M45" s="1">
        <v>121800</v>
      </c>
    </row>
    <row r="46" spans="1:13" x14ac:dyDescent="0.25">
      <c r="A46" t="s">
        <v>57</v>
      </c>
      <c r="B46" s="1">
        <v>40000</v>
      </c>
      <c r="C46" s="1">
        <v>13000</v>
      </c>
      <c r="D46" s="1">
        <v>83200</v>
      </c>
      <c r="E46" s="1">
        <v>68500</v>
      </c>
      <c r="F46" s="1">
        <v>185200</v>
      </c>
      <c r="G46" s="1">
        <v>2200</v>
      </c>
      <c r="H46">
        <v>500</v>
      </c>
      <c r="I46">
        <v>0</v>
      </c>
      <c r="J46">
        <v>0</v>
      </c>
      <c r="K46" s="1">
        <v>2499600</v>
      </c>
      <c r="L46" s="1">
        <v>158000</v>
      </c>
      <c r="M46" s="1">
        <v>26000</v>
      </c>
    </row>
    <row r="47" spans="1:13" x14ac:dyDescent="0.25">
      <c r="A47" t="s">
        <v>58</v>
      </c>
      <c r="B47" s="1">
        <v>7800</v>
      </c>
      <c r="C47" s="1">
        <v>5700</v>
      </c>
      <c r="D47" s="1">
        <v>20300</v>
      </c>
      <c r="E47" s="1">
        <v>7000</v>
      </c>
      <c r="F47" s="1">
        <v>36600</v>
      </c>
      <c r="G47">
        <v>0</v>
      </c>
      <c r="H47">
        <v>0</v>
      </c>
      <c r="I47">
        <v>0</v>
      </c>
      <c r="J47">
        <v>0</v>
      </c>
      <c r="K47" s="1">
        <v>496000</v>
      </c>
      <c r="L47" s="1">
        <v>14700</v>
      </c>
      <c r="M47" s="1">
        <v>5000</v>
      </c>
    </row>
    <row r="48" spans="1:13" x14ac:dyDescent="0.25">
      <c r="A48" t="s">
        <v>59</v>
      </c>
      <c r="B48" s="1">
        <v>84900</v>
      </c>
      <c r="C48" s="1">
        <v>26800</v>
      </c>
      <c r="D48" s="1">
        <v>229400</v>
      </c>
      <c r="E48" s="1">
        <v>44300</v>
      </c>
      <c r="F48" s="1">
        <v>484800</v>
      </c>
      <c r="G48">
        <v>300</v>
      </c>
      <c r="H48">
        <v>0</v>
      </c>
      <c r="I48">
        <v>0</v>
      </c>
      <c r="J48">
        <v>0</v>
      </c>
      <c r="K48" s="1">
        <v>6670000</v>
      </c>
      <c r="L48" s="1">
        <v>152800</v>
      </c>
      <c r="M48" s="1">
        <v>30200</v>
      </c>
    </row>
    <row r="49" spans="1:13" x14ac:dyDescent="0.25">
      <c r="A49" t="s">
        <v>60</v>
      </c>
      <c r="B49" s="1">
        <v>152100</v>
      </c>
      <c r="C49" s="1">
        <v>41200</v>
      </c>
      <c r="D49" s="1">
        <v>307200</v>
      </c>
      <c r="E49" s="1">
        <v>73800</v>
      </c>
      <c r="F49" s="1">
        <v>337700</v>
      </c>
      <c r="G49">
        <v>100</v>
      </c>
      <c r="H49">
        <v>100</v>
      </c>
      <c r="I49">
        <v>0</v>
      </c>
      <c r="J49">
        <v>0</v>
      </c>
      <c r="K49" s="1">
        <v>5583000</v>
      </c>
      <c r="L49" s="1">
        <v>274200</v>
      </c>
      <c r="M49" s="1">
        <v>46700</v>
      </c>
    </row>
    <row r="50" spans="1:13" x14ac:dyDescent="0.25">
      <c r="A50" t="s">
        <v>61</v>
      </c>
      <c r="B50" s="1">
        <v>2800</v>
      </c>
      <c r="C50" s="1">
        <v>1800</v>
      </c>
      <c r="D50" s="1">
        <v>22400</v>
      </c>
      <c r="E50" s="1">
        <v>17300</v>
      </c>
      <c r="F50" s="1">
        <v>123400</v>
      </c>
      <c r="G50">
        <v>100</v>
      </c>
      <c r="H50">
        <v>0</v>
      </c>
      <c r="I50">
        <v>0</v>
      </c>
      <c r="J50">
        <v>0</v>
      </c>
      <c r="K50" s="1">
        <v>1281500</v>
      </c>
      <c r="L50" s="1">
        <v>46400</v>
      </c>
      <c r="M50" s="1">
        <v>15200</v>
      </c>
    </row>
    <row r="51" spans="1:13" x14ac:dyDescent="0.25">
      <c r="A51" t="s">
        <v>62</v>
      </c>
      <c r="B51" s="1">
        <v>24900</v>
      </c>
      <c r="C51" s="1">
        <v>12500</v>
      </c>
      <c r="D51" s="1">
        <v>123600</v>
      </c>
      <c r="E51" s="1">
        <v>52900</v>
      </c>
      <c r="F51" s="1">
        <v>536200</v>
      </c>
      <c r="G51">
        <v>300</v>
      </c>
      <c r="H51">
        <v>0</v>
      </c>
      <c r="I51">
        <v>0</v>
      </c>
      <c r="J51">
        <v>0</v>
      </c>
      <c r="K51" s="1">
        <v>4604700</v>
      </c>
      <c r="L51" s="1">
        <v>147500</v>
      </c>
      <c r="M51" s="1">
        <v>26400</v>
      </c>
    </row>
    <row r="52" spans="1:13" x14ac:dyDescent="0.25">
      <c r="A52" t="s">
        <v>63</v>
      </c>
      <c r="B52" s="1">
        <v>1100</v>
      </c>
      <c r="C52">
        <v>800</v>
      </c>
      <c r="D52" s="1">
        <v>8400</v>
      </c>
      <c r="E52" s="1">
        <v>21200</v>
      </c>
      <c r="F52" s="1">
        <v>57700</v>
      </c>
      <c r="G52">
        <v>0</v>
      </c>
      <c r="H52">
        <v>0</v>
      </c>
      <c r="I52">
        <v>0</v>
      </c>
      <c r="J52">
        <v>0</v>
      </c>
      <c r="K52" s="1">
        <v>489100</v>
      </c>
      <c r="L52" s="1">
        <v>60900</v>
      </c>
      <c r="M52" s="1">
        <v>13700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65F8-8AC0-4E01-B03F-EC64FA929E0A}">
  <dimension ref="A1:AA52"/>
  <sheetViews>
    <sheetView workbookViewId="0">
      <selection activeCell="B54" sqref="B54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7" x14ac:dyDescent="0.25">
      <c r="A2" t="s">
        <v>13</v>
      </c>
      <c r="B2" s="1">
        <v>13000</v>
      </c>
      <c r="C2" s="1">
        <v>5800</v>
      </c>
      <c r="D2" s="1">
        <v>63300</v>
      </c>
      <c r="E2" s="1">
        <v>54200</v>
      </c>
      <c r="F2" s="1">
        <v>441200</v>
      </c>
      <c r="G2">
        <v>100</v>
      </c>
      <c r="H2">
        <v>100</v>
      </c>
      <c r="I2">
        <v>0</v>
      </c>
      <c r="J2">
        <v>0</v>
      </c>
      <c r="K2" s="1">
        <v>4102200</v>
      </c>
      <c r="L2" s="1">
        <v>127000</v>
      </c>
      <c r="M2" s="1">
        <v>29000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</row>
    <row r="3" spans="1:27" x14ac:dyDescent="0.25">
      <c r="A3" t="s">
        <v>14</v>
      </c>
      <c r="B3" s="1">
        <v>2700</v>
      </c>
      <c r="C3">
        <v>900</v>
      </c>
      <c r="D3" s="1">
        <v>10600</v>
      </c>
      <c r="E3" s="1">
        <v>9600</v>
      </c>
      <c r="F3" s="1">
        <v>46800</v>
      </c>
      <c r="G3">
        <v>0</v>
      </c>
      <c r="H3">
        <v>0</v>
      </c>
      <c r="I3">
        <v>0</v>
      </c>
      <c r="J3">
        <v>0</v>
      </c>
      <c r="K3" s="1">
        <v>454300</v>
      </c>
      <c r="L3" s="1">
        <v>29800</v>
      </c>
      <c r="M3" s="1">
        <v>5100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</row>
    <row r="4" spans="1:27" x14ac:dyDescent="0.25">
      <c r="A4" t="s">
        <v>15</v>
      </c>
      <c r="B4" s="1">
        <v>89800</v>
      </c>
      <c r="C4" s="1">
        <v>25600</v>
      </c>
      <c r="D4" s="1">
        <v>175700</v>
      </c>
      <c r="E4" s="1">
        <v>68600</v>
      </c>
      <c r="F4" s="1">
        <v>437100</v>
      </c>
      <c r="G4">
        <v>600</v>
      </c>
      <c r="H4">
        <v>700</v>
      </c>
      <c r="I4">
        <v>0</v>
      </c>
      <c r="J4">
        <v>0</v>
      </c>
      <c r="K4" s="1">
        <v>5469000</v>
      </c>
      <c r="L4" s="1">
        <v>197700</v>
      </c>
      <c r="M4" s="1">
        <v>64200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</row>
    <row r="5" spans="1:27" x14ac:dyDescent="0.25">
      <c r="A5" t="s">
        <v>16</v>
      </c>
      <c r="B5" s="1">
        <v>7100</v>
      </c>
      <c r="C5" s="1">
        <v>3200</v>
      </c>
      <c r="D5" s="1">
        <v>37000</v>
      </c>
      <c r="E5" s="1">
        <v>37000</v>
      </c>
      <c r="F5" s="1">
        <v>276700</v>
      </c>
      <c r="G5">
        <v>200</v>
      </c>
      <c r="H5">
        <v>0</v>
      </c>
      <c r="I5">
        <v>0</v>
      </c>
      <c r="J5">
        <v>0</v>
      </c>
      <c r="K5" s="1">
        <v>2246100</v>
      </c>
      <c r="L5" s="1">
        <v>90700</v>
      </c>
      <c r="M5" s="1">
        <v>10300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</row>
    <row r="6" spans="1:27" x14ac:dyDescent="0.25">
      <c r="A6" t="s">
        <v>17</v>
      </c>
      <c r="B6" s="1">
        <v>1256600</v>
      </c>
      <c r="C6" s="1">
        <v>410700</v>
      </c>
      <c r="D6" s="1">
        <v>1703200</v>
      </c>
      <c r="E6" s="1">
        <v>201600</v>
      </c>
      <c r="F6" s="1">
        <v>1314600</v>
      </c>
      <c r="G6" s="1">
        <v>10100</v>
      </c>
      <c r="H6" s="1">
        <v>1500</v>
      </c>
      <c r="I6" s="1">
        <v>16900</v>
      </c>
      <c r="J6">
        <v>0</v>
      </c>
      <c r="K6" s="1">
        <v>31191900</v>
      </c>
      <c r="L6" s="1">
        <v>735300</v>
      </c>
      <c r="M6" s="1">
        <v>7900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</row>
    <row r="7" spans="1:27" x14ac:dyDescent="0.25">
      <c r="A7" t="s">
        <v>18</v>
      </c>
      <c r="B7" s="1">
        <v>90100</v>
      </c>
      <c r="C7" s="1">
        <v>37500</v>
      </c>
      <c r="D7" s="1">
        <v>152700</v>
      </c>
      <c r="E7" s="1">
        <v>68100</v>
      </c>
      <c r="F7" s="1">
        <v>334300</v>
      </c>
      <c r="G7">
        <v>300</v>
      </c>
      <c r="H7">
        <v>100</v>
      </c>
      <c r="I7">
        <v>0</v>
      </c>
      <c r="J7">
        <v>0</v>
      </c>
      <c r="K7" s="1">
        <v>4508800</v>
      </c>
      <c r="L7" s="1">
        <v>203400</v>
      </c>
      <c r="M7" s="1">
        <v>46500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</row>
    <row r="8" spans="1:27" x14ac:dyDescent="0.25">
      <c r="A8" t="s">
        <v>19</v>
      </c>
      <c r="B8" s="1">
        <v>31600</v>
      </c>
      <c r="C8" s="1">
        <v>18400</v>
      </c>
      <c r="D8" s="1">
        <v>75300</v>
      </c>
      <c r="E8" s="1">
        <v>10900</v>
      </c>
      <c r="F8" s="1">
        <v>133600</v>
      </c>
      <c r="G8">
        <v>100</v>
      </c>
      <c r="H8">
        <v>0</v>
      </c>
      <c r="I8">
        <v>0</v>
      </c>
      <c r="J8">
        <v>0</v>
      </c>
      <c r="K8" s="1">
        <v>2612600</v>
      </c>
      <c r="L8" s="1">
        <v>42300</v>
      </c>
      <c r="M8" s="1">
        <v>20900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</row>
    <row r="9" spans="1:27" x14ac:dyDescent="0.25">
      <c r="A9" t="s">
        <v>20</v>
      </c>
      <c r="B9" s="1">
        <v>8400</v>
      </c>
      <c r="C9" s="1">
        <v>3800</v>
      </c>
      <c r="D9" s="1">
        <v>22900</v>
      </c>
      <c r="E9" s="1">
        <v>5100</v>
      </c>
      <c r="F9" s="1">
        <v>63900</v>
      </c>
      <c r="G9">
        <v>0</v>
      </c>
      <c r="H9">
        <v>0</v>
      </c>
      <c r="I9">
        <v>0</v>
      </c>
      <c r="J9">
        <v>0</v>
      </c>
      <c r="K9" s="1">
        <v>791300</v>
      </c>
      <c r="L9" s="1">
        <v>14200</v>
      </c>
      <c r="M9" s="1">
        <v>5100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</row>
    <row r="10" spans="1:27" x14ac:dyDescent="0.25">
      <c r="A10" t="s">
        <v>21</v>
      </c>
      <c r="B10" s="1">
        <v>8100</v>
      </c>
      <c r="C10" s="1">
        <v>3700</v>
      </c>
      <c r="D10" s="1">
        <v>18100</v>
      </c>
      <c r="E10">
        <v>400</v>
      </c>
      <c r="F10" s="1">
        <v>16800</v>
      </c>
      <c r="G10">
        <v>100</v>
      </c>
      <c r="H10">
        <v>0</v>
      </c>
      <c r="I10">
        <v>0</v>
      </c>
      <c r="J10">
        <v>0</v>
      </c>
      <c r="K10" s="1">
        <v>262500</v>
      </c>
      <c r="L10" s="1">
        <v>1800</v>
      </c>
      <c r="M10">
        <v>600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</row>
    <row r="11" spans="1:27" x14ac:dyDescent="0.25">
      <c r="A11" t="s">
        <v>22</v>
      </c>
      <c r="B11" s="1">
        <v>254900</v>
      </c>
      <c r="C11" s="1">
        <v>57300</v>
      </c>
      <c r="D11" s="1">
        <v>414500</v>
      </c>
      <c r="E11" s="1">
        <v>170500</v>
      </c>
      <c r="F11" s="1">
        <v>1101100</v>
      </c>
      <c r="G11">
        <v>400</v>
      </c>
      <c r="H11">
        <v>100</v>
      </c>
      <c r="I11">
        <v>0</v>
      </c>
      <c r="J11">
        <v>0</v>
      </c>
      <c r="K11" s="1">
        <v>16136500</v>
      </c>
      <c r="L11" s="1">
        <v>351800</v>
      </c>
      <c r="M11" s="1">
        <v>96100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</row>
    <row r="12" spans="1:27" x14ac:dyDescent="0.25">
      <c r="A12" t="s">
        <v>23</v>
      </c>
      <c r="B12" s="1">
        <v>92400</v>
      </c>
      <c r="C12" s="1">
        <v>22700</v>
      </c>
      <c r="D12" s="1">
        <v>175300</v>
      </c>
      <c r="E12" s="1">
        <v>92500</v>
      </c>
      <c r="F12" s="1">
        <v>719400</v>
      </c>
      <c r="G12">
        <v>300</v>
      </c>
      <c r="H12">
        <v>200</v>
      </c>
      <c r="I12">
        <v>0</v>
      </c>
      <c r="J12">
        <v>0</v>
      </c>
      <c r="K12" s="1">
        <v>8256400</v>
      </c>
      <c r="L12" s="1">
        <v>206300</v>
      </c>
      <c r="M12" s="1">
        <v>76900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</row>
    <row r="13" spans="1:27" x14ac:dyDescent="0.25">
      <c r="A13" t="s">
        <v>24</v>
      </c>
      <c r="B13" s="1">
        <v>25600</v>
      </c>
      <c r="C13" s="1">
        <v>7300</v>
      </c>
      <c r="D13" s="1">
        <v>36400</v>
      </c>
      <c r="E13" s="1">
        <v>3400</v>
      </c>
      <c r="F13" s="1">
        <v>37300</v>
      </c>
      <c r="G13">
        <v>0</v>
      </c>
      <c r="H13">
        <v>0</v>
      </c>
      <c r="I13">
        <v>0</v>
      </c>
      <c r="J13">
        <v>0</v>
      </c>
      <c r="K13" s="1">
        <v>951000</v>
      </c>
      <c r="L13" s="1">
        <v>15400</v>
      </c>
      <c r="M13" s="1">
        <v>3700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</row>
    <row r="14" spans="1:27" x14ac:dyDescent="0.25">
      <c r="A14" t="s">
        <v>25</v>
      </c>
      <c r="B14" s="1">
        <v>8500</v>
      </c>
      <c r="C14" s="1">
        <v>4600</v>
      </c>
      <c r="D14" s="1">
        <v>43700</v>
      </c>
      <c r="E14" s="1">
        <v>45900</v>
      </c>
      <c r="F14" s="1">
        <v>132900</v>
      </c>
      <c r="G14">
        <v>100</v>
      </c>
      <c r="H14">
        <v>100</v>
      </c>
      <c r="I14">
        <v>0</v>
      </c>
      <c r="J14">
        <v>0</v>
      </c>
      <c r="K14" s="1">
        <v>1568600</v>
      </c>
      <c r="L14" s="1">
        <v>138600</v>
      </c>
      <c r="M14" s="1">
        <v>31600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</row>
    <row r="15" spans="1:27" x14ac:dyDescent="0.25">
      <c r="A15" t="s">
        <v>26</v>
      </c>
      <c r="B15" s="1">
        <v>99600</v>
      </c>
      <c r="C15" s="1">
        <v>33400</v>
      </c>
      <c r="D15" s="1">
        <v>285400</v>
      </c>
      <c r="E15" s="1">
        <v>61500</v>
      </c>
      <c r="F15" s="1">
        <v>772900</v>
      </c>
      <c r="G15">
        <v>300</v>
      </c>
      <c r="H15">
        <v>0</v>
      </c>
      <c r="I15">
        <v>0</v>
      </c>
      <c r="J15">
        <v>0</v>
      </c>
      <c r="K15" s="1">
        <v>8560300</v>
      </c>
      <c r="L15" s="1">
        <v>170200</v>
      </c>
      <c r="M15" s="1">
        <v>59600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</row>
    <row r="16" spans="1:27" x14ac:dyDescent="0.25">
      <c r="A16" t="s">
        <v>27</v>
      </c>
      <c r="B16" s="1">
        <v>26100</v>
      </c>
      <c r="C16" s="1">
        <v>12900</v>
      </c>
      <c r="D16" s="1">
        <v>119100</v>
      </c>
      <c r="E16" s="1">
        <v>56300</v>
      </c>
      <c r="F16" s="1">
        <v>576300</v>
      </c>
      <c r="G16">
        <v>300</v>
      </c>
      <c r="H16">
        <v>0</v>
      </c>
      <c r="I16">
        <v>0</v>
      </c>
      <c r="J16">
        <v>0</v>
      </c>
      <c r="K16" s="1">
        <v>5166200</v>
      </c>
      <c r="L16" s="1">
        <v>156400</v>
      </c>
      <c r="M16" s="1">
        <v>58500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</row>
    <row r="17" spans="1:27" x14ac:dyDescent="0.25">
      <c r="A17" t="s">
        <v>28</v>
      </c>
      <c r="B17" s="1">
        <v>9000</v>
      </c>
      <c r="C17" s="1">
        <v>6100</v>
      </c>
      <c r="D17" s="1">
        <v>57200</v>
      </c>
      <c r="E17" s="1">
        <v>41700</v>
      </c>
      <c r="F17" s="1">
        <v>331300</v>
      </c>
      <c r="G17">
        <v>100</v>
      </c>
      <c r="H17">
        <v>0</v>
      </c>
      <c r="I17">
        <v>0</v>
      </c>
      <c r="J17">
        <v>0</v>
      </c>
      <c r="K17" s="1">
        <v>2545400</v>
      </c>
      <c r="L17" s="1">
        <v>105000</v>
      </c>
      <c r="M17" s="1">
        <v>57500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</row>
    <row r="18" spans="1:27" x14ac:dyDescent="0.25">
      <c r="A18" t="s">
        <v>29</v>
      </c>
      <c r="B18" s="1">
        <v>11300</v>
      </c>
      <c r="C18" s="1">
        <v>5600</v>
      </c>
      <c r="D18" s="1">
        <v>50400</v>
      </c>
      <c r="E18" s="1">
        <v>27900</v>
      </c>
      <c r="F18" s="1">
        <v>253500</v>
      </c>
      <c r="G18">
        <v>200</v>
      </c>
      <c r="H18">
        <v>100</v>
      </c>
      <c r="I18">
        <v>0</v>
      </c>
      <c r="J18">
        <v>0</v>
      </c>
      <c r="K18" s="1">
        <v>2168600</v>
      </c>
      <c r="L18" s="1">
        <v>87400</v>
      </c>
      <c r="M18" s="1">
        <v>16100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</row>
    <row r="19" spans="1:27" x14ac:dyDescent="0.25">
      <c r="A19" t="s">
        <v>30</v>
      </c>
      <c r="B19" s="1">
        <v>11600</v>
      </c>
      <c r="C19" s="1">
        <v>5600</v>
      </c>
      <c r="D19" s="1">
        <v>67100</v>
      </c>
      <c r="E19" s="1">
        <v>36900</v>
      </c>
      <c r="F19" s="1">
        <v>361200</v>
      </c>
      <c r="G19">
        <v>300</v>
      </c>
      <c r="H19">
        <v>0</v>
      </c>
      <c r="I19">
        <v>0</v>
      </c>
      <c r="J19">
        <v>0</v>
      </c>
      <c r="K19" s="1">
        <v>3415000</v>
      </c>
      <c r="L19" s="1">
        <v>117600</v>
      </c>
      <c r="M19" s="1">
        <v>24400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</row>
    <row r="20" spans="1:27" x14ac:dyDescent="0.25">
      <c r="A20" t="s">
        <v>31</v>
      </c>
      <c r="B20" s="1">
        <v>8200</v>
      </c>
      <c r="C20" s="1">
        <v>4000</v>
      </c>
      <c r="D20" s="1">
        <v>40200</v>
      </c>
      <c r="E20" s="1">
        <v>64200</v>
      </c>
      <c r="F20" s="1">
        <v>380100</v>
      </c>
      <c r="G20">
        <v>100</v>
      </c>
      <c r="H20">
        <v>0</v>
      </c>
      <c r="I20">
        <v>0</v>
      </c>
      <c r="J20">
        <v>0</v>
      </c>
      <c r="K20" s="1">
        <v>3142800</v>
      </c>
      <c r="L20" s="1">
        <v>115500</v>
      </c>
      <c r="M20" s="1">
        <v>19100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</row>
    <row r="21" spans="1:27" x14ac:dyDescent="0.25">
      <c r="A21" t="s">
        <v>32</v>
      </c>
      <c r="B21" s="1">
        <v>7400</v>
      </c>
      <c r="C21" s="1">
        <v>7600</v>
      </c>
      <c r="D21" s="1">
        <v>33600</v>
      </c>
      <c r="E21" s="1">
        <v>12000</v>
      </c>
      <c r="F21" s="1">
        <v>104500</v>
      </c>
      <c r="G21">
        <v>0</v>
      </c>
      <c r="H21">
        <v>0</v>
      </c>
      <c r="I21">
        <v>0</v>
      </c>
      <c r="J21">
        <v>0</v>
      </c>
      <c r="K21" s="1">
        <v>1036100</v>
      </c>
      <c r="L21" s="1">
        <v>26900</v>
      </c>
      <c r="M21" s="1">
        <v>7900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</row>
    <row r="22" spans="1:27" x14ac:dyDescent="0.25">
      <c r="A22" t="s">
        <v>33</v>
      </c>
      <c r="B22" s="1">
        <v>72100</v>
      </c>
      <c r="C22" s="1">
        <v>31300</v>
      </c>
      <c r="D22" s="1">
        <v>168700</v>
      </c>
      <c r="E22" s="1">
        <v>32100</v>
      </c>
      <c r="F22" s="1">
        <v>309300</v>
      </c>
      <c r="G22">
        <v>300</v>
      </c>
      <c r="H22">
        <v>0</v>
      </c>
      <c r="I22">
        <v>0</v>
      </c>
      <c r="J22">
        <v>0</v>
      </c>
      <c r="K22" s="1">
        <v>4327800</v>
      </c>
      <c r="L22" s="1">
        <v>86900</v>
      </c>
      <c r="M22" s="1">
        <v>31500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</row>
    <row r="23" spans="1:27" x14ac:dyDescent="0.25">
      <c r="A23" t="s">
        <v>34</v>
      </c>
      <c r="B23" s="1">
        <v>73800</v>
      </c>
      <c r="C23" s="1">
        <v>43800</v>
      </c>
      <c r="D23" s="1">
        <v>187300</v>
      </c>
      <c r="E23" s="1">
        <v>21300</v>
      </c>
      <c r="F23" s="1">
        <v>285000</v>
      </c>
      <c r="G23">
        <v>200</v>
      </c>
      <c r="H23">
        <v>0</v>
      </c>
      <c r="I23">
        <v>0</v>
      </c>
      <c r="J23">
        <v>0</v>
      </c>
      <c r="K23" s="1">
        <v>4791300</v>
      </c>
      <c r="L23" s="1">
        <v>58400</v>
      </c>
      <c r="M23" s="1">
        <v>30000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</row>
    <row r="24" spans="1:27" x14ac:dyDescent="0.25">
      <c r="A24" t="s">
        <v>35</v>
      </c>
      <c r="B24" s="1">
        <v>50300</v>
      </c>
      <c r="C24" s="1">
        <v>29100</v>
      </c>
      <c r="D24" s="1">
        <v>148100</v>
      </c>
      <c r="E24" s="1">
        <v>70400</v>
      </c>
      <c r="F24" s="1">
        <v>873700</v>
      </c>
      <c r="G24">
        <v>300</v>
      </c>
      <c r="H24">
        <v>0</v>
      </c>
      <c r="I24">
        <v>0</v>
      </c>
      <c r="J24">
        <v>0</v>
      </c>
      <c r="K24" s="1">
        <v>7129600</v>
      </c>
      <c r="L24" s="1">
        <v>174500</v>
      </c>
      <c r="M24" s="1">
        <v>49400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</row>
    <row r="25" spans="1:27" x14ac:dyDescent="0.25">
      <c r="A25" t="s">
        <v>36</v>
      </c>
      <c r="B25" s="1">
        <v>37100</v>
      </c>
      <c r="C25" s="1">
        <v>16100</v>
      </c>
      <c r="D25" s="1">
        <v>124500</v>
      </c>
      <c r="E25" s="1">
        <v>52700</v>
      </c>
      <c r="F25" s="1">
        <v>516400</v>
      </c>
      <c r="G25">
        <v>100</v>
      </c>
      <c r="H25">
        <v>0</v>
      </c>
      <c r="I25">
        <v>0</v>
      </c>
      <c r="J25">
        <v>0</v>
      </c>
      <c r="K25" s="1">
        <v>4219200</v>
      </c>
      <c r="L25" s="1">
        <v>127900</v>
      </c>
      <c r="M25" s="1">
        <v>24500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</row>
    <row r="26" spans="1:27" x14ac:dyDescent="0.25">
      <c r="A26" t="s">
        <v>37</v>
      </c>
      <c r="B26" s="1">
        <v>3600</v>
      </c>
      <c r="C26" s="1">
        <v>2000</v>
      </c>
      <c r="D26" s="1">
        <v>28200</v>
      </c>
      <c r="E26" s="1">
        <v>34900</v>
      </c>
      <c r="F26" s="1">
        <v>295200</v>
      </c>
      <c r="G26">
        <v>100</v>
      </c>
      <c r="H26">
        <v>0</v>
      </c>
      <c r="I26">
        <v>0</v>
      </c>
      <c r="J26">
        <v>0</v>
      </c>
      <c r="K26" s="1">
        <v>2275600</v>
      </c>
      <c r="L26" s="1">
        <v>75200</v>
      </c>
      <c r="M26" s="1">
        <v>8500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</row>
    <row r="27" spans="1:27" x14ac:dyDescent="0.25">
      <c r="A27" t="s">
        <v>38</v>
      </c>
      <c r="B27" s="1">
        <v>26900</v>
      </c>
      <c r="C27" s="1">
        <v>13900</v>
      </c>
      <c r="D27" s="1">
        <v>113900</v>
      </c>
      <c r="E27" s="1">
        <v>70400</v>
      </c>
      <c r="F27" s="1">
        <v>575500</v>
      </c>
      <c r="G27">
        <v>900</v>
      </c>
      <c r="H27">
        <v>100</v>
      </c>
      <c r="I27">
        <v>0</v>
      </c>
      <c r="J27">
        <v>0</v>
      </c>
      <c r="K27" s="1">
        <v>4608600</v>
      </c>
      <c r="L27" s="1">
        <v>178200</v>
      </c>
      <c r="M27" s="1">
        <v>37600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</row>
    <row r="28" spans="1:27" x14ac:dyDescent="0.25">
      <c r="A28" t="s">
        <v>39</v>
      </c>
      <c r="B28" s="1">
        <v>4600</v>
      </c>
      <c r="C28" s="1">
        <v>2500</v>
      </c>
      <c r="D28" s="1">
        <v>21100</v>
      </c>
      <c r="E28" s="1">
        <v>37900</v>
      </c>
      <c r="F28" s="1">
        <v>94500</v>
      </c>
      <c r="G28">
        <v>0</v>
      </c>
      <c r="H28">
        <v>0</v>
      </c>
      <c r="I28">
        <v>0</v>
      </c>
      <c r="J28">
        <v>0</v>
      </c>
      <c r="K28" s="1">
        <v>780700</v>
      </c>
      <c r="L28" s="1">
        <v>69600</v>
      </c>
      <c r="M28" s="1">
        <v>10800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</row>
    <row r="29" spans="1:27" x14ac:dyDescent="0.25">
      <c r="A29" t="s">
        <v>40</v>
      </c>
      <c r="B29" s="1">
        <v>6900</v>
      </c>
      <c r="C29" s="1">
        <v>3800</v>
      </c>
      <c r="D29" s="1">
        <v>32600</v>
      </c>
      <c r="E29" s="1">
        <v>28900</v>
      </c>
      <c r="F29" s="1">
        <v>197100</v>
      </c>
      <c r="G29">
        <v>100</v>
      </c>
      <c r="H29">
        <v>0</v>
      </c>
      <c r="I29">
        <v>0</v>
      </c>
      <c r="J29">
        <v>0</v>
      </c>
      <c r="K29" s="1">
        <v>1600400</v>
      </c>
      <c r="L29" s="1">
        <v>76100</v>
      </c>
      <c r="M29" s="1">
        <v>25300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</row>
    <row r="30" spans="1:27" x14ac:dyDescent="0.25">
      <c r="A30" t="s">
        <v>41</v>
      </c>
      <c r="B30" s="1">
        <v>47400</v>
      </c>
      <c r="C30" s="1">
        <v>10600</v>
      </c>
      <c r="D30" s="1">
        <v>69600</v>
      </c>
      <c r="E30" s="1">
        <v>27200</v>
      </c>
      <c r="F30" s="1">
        <v>125600</v>
      </c>
      <c r="G30">
        <v>200</v>
      </c>
      <c r="H30">
        <v>100</v>
      </c>
      <c r="I30">
        <v>0</v>
      </c>
      <c r="J30">
        <v>0</v>
      </c>
      <c r="K30" s="1">
        <v>2169300</v>
      </c>
      <c r="L30" s="1">
        <v>85800</v>
      </c>
      <c r="M30" s="1">
        <v>20300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  <c r="Z30" t="b">
        <v>1</v>
      </c>
      <c r="AA30" t="b">
        <v>1</v>
      </c>
    </row>
    <row r="31" spans="1:27" x14ac:dyDescent="0.25">
      <c r="A31" t="s">
        <v>42</v>
      </c>
      <c r="B31" s="1">
        <v>9900</v>
      </c>
      <c r="C31" s="1">
        <v>6600</v>
      </c>
      <c r="D31" s="1">
        <v>36800</v>
      </c>
      <c r="E31" s="1">
        <v>13900</v>
      </c>
      <c r="F31" s="1">
        <v>89600</v>
      </c>
      <c r="G31">
        <v>100</v>
      </c>
      <c r="H31">
        <v>0</v>
      </c>
      <c r="I31">
        <v>0</v>
      </c>
      <c r="J31">
        <v>0</v>
      </c>
      <c r="K31" s="1">
        <v>1185300</v>
      </c>
      <c r="L31" s="1">
        <v>29200</v>
      </c>
      <c r="M31" s="1">
        <v>12300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</row>
    <row r="32" spans="1:27" x14ac:dyDescent="0.25">
      <c r="A32" t="s">
        <v>43</v>
      </c>
      <c r="B32" s="1">
        <v>134800</v>
      </c>
      <c r="C32" s="1">
        <v>40900</v>
      </c>
      <c r="D32" s="1">
        <v>174200</v>
      </c>
      <c r="E32" s="1">
        <v>27800</v>
      </c>
      <c r="F32" s="1">
        <v>392100</v>
      </c>
      <c r="G32">
        <v>300</v>
      </c>
      <c r="H32">
        <v>0</v>
      </c>
      <c r="I32">
        <v>0</v>
      </c>
      <c r="J32">
        <v>0</v>
      </c>
      <c r="K32" s="1">
        <v>6433000</v>
      </c>
      <c r="L32" s="1">
        <v>84600</v>
      </c>
      <c r="M32" s="1">
        <v>36400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</row>
    <row r="33" spans="1:27" x14ac:dyDescent="0.25">
      <c r="A33" t="s">
        <v>44</v>
      </c>
      <c r="B33" s="1">
        <v>10300</v>
      </c>
      <c r="C33" s="1">
        <v>4900</v>
      </c>
      <c r="D33" s="1">
        <v>44300</v>
      </c>
      <c r="E33" s="1">
        <v>32100</v>
      </c>
      <c r="F33" s="1">
        <v>151600</v>
      </c>
      <c r="G33">
        <v>100</v>
      </c>
      <c r="H33">
        <v>100</v>
      </c>
      <c r="I33">
        <v>0</v>
      </c>
      <c r="J33">
        <v>0</v>
      </c>
      <c r="K33" s="1">
        <v>1597600</v>
      </c>
      <c r="L33" s="1">
        <v>88500</v>
      </c>
      <c r="M33" s="1">
        <v>22900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</row>
    <row r="34" spans="1:27" x14ac:dyDescent="0.25">
      <c r="A34" t="s">
        <v>45</v>
      </c>
      <c r="B34" s="1">
        <v>131300</v>
      </c>
      <c r="C34" s="1">
        <v>92300</v>
      </c>
      <c r="D34" s="1">
        <v>314000</v>
      </c>
      <c r="E34" s="1">
        <v>54300</v>
      </c>
      <c r="F34" s="1">
        <v>591100</v>
      </c>
      <c r="G34">
        <v>400</v>
      </c>
      <c r="H34">
        <v>100</v>
      </c>
      <c r="I34">
        <v>0</v>
      </c>
      <c r="J34">
        <v>0</v>
      </c>
      <c r="K34" s="1">
        <v>9905500</v>
      </c>
      <c r="L34" s="1">
        <v>150500</v>
      </c>
      <c r="M34" s="1">
        <v>79100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</row>
    <row r="35" spans="1:27" x14ac:dyDescent="0.25">
      <c r="A35" t="s">
        <v>46</v>
      </c>
      <c r="B35" s="1">
        <v>70200</v>
      </c>
      <c r="C35" s="1">
        <v>23700</v>
      </c>
      <c r="D35" s="1">
        <v>210600</v>
      </c>
      <c r="E35" s="1">
        <v>80200</v>
      </c>
      <c r="F35" s="1">
        <v>655000</v>
      </c>
      <c r="G35">
        <v>300</v>
      </c>
      <c r="H35">
        <v>100</v>
      </c>
      <c r="I35">
        <v>0</v>
      </c>
      <c r="J35">
        <v>0</v>
      </c>
      <c r="K35" s="1">
        <v>7764000</v>
      </c>
      <c r="L35" s="1">
        <v>209700</v>
      </c>
      <c r="M35" s="1">
        <v>71700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</row>
    <row r="36" spans="1:27" x14ac:dyDescent="0.25">
      <c r="A36" t="s">
        <v>47</v>
      </c>
      <c r="B36" s="1">
        <v>1000</v>
      </c>
      <c r="C36">
        <v>800</v>
      </c>
      <c r="D36" s="1">
        <v>8200</v>
      </c>
      <c r="E36" s="1">
        <v>20400</v>
      </c>
      <c r="F36" s="1">
        <v>89900</v>
      </c>
      <c r="G36">
        <v>0</v>
      </c>
      <c r="H36">
        <v>0</v>
      </c>
      <c r="I36">
        <v>0</v>
      </c>
      <c r="J36">
        <v>0</v>
      </c>
      <c r="K36" s="1">
        <v>625300</v>
      </c>
      <c r="L36" s="1">
        <v>44600</v>
      </c>
      <c r="M36" s="1">
        <v>7200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</row>
    <row r="37" spans="1:27" x14ac:dyDescent="0.25">
      <c r="A37" t="s">
        <v>48</v>
      </c>
      <c r="B37" s="1">
        <v>50400</v>
      </c>
      <c r="C37" s="1">
        <v>24000</v>
      </c>
      <c r="D37" s="1">
        <v>199800</v>
      </c>
      <c r="E37" s="1">
        <v>70300</v>
      </c>
      <c r="F37" s="1">
        <v>833500</v>
      </c>
      <c r="G37">
        <v>700</v>
      </c>
      <c r="H37">
        <v>100</v>
      </c>
      <c r="I37">
        <v>0</v>
      </c>
      <c r="J37">
        <v>0</v>
      </c>
      <c r="K37" s="1">
        <v>8881400</v>
      </c>
      <c r="L37" s="1">
        <v>196200</v>
      </c>
      <c r="M37" s="1">
        <v>60900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</row>
    <row r="38" spans="1:27" x14ac:dyDescent="0.25">
      <c r="A38" t="s">
        <v>49</v>
      </c>
      <c r="B38" s="1">
        <v>22800</v>
      </c>
      <c r="C38" s="1">
        <v>33000</v>
      </c>
      <c r="D38" s="1">
        <v>56400</v>
      </c>
      <c r="E38" s="1">
        <v>63100</v>
      </c>
      <c r="F38" s="1">
        <v>352400</v>
      </c>
      <c r="G38" s="1">
        <v>1800</v>
      </c>
      <c r="H38">
        <v>200</v>
      </c>
      <c r="I38">
        <v>0</v>
      </c>
      <c r="J38">
        <v>0</v>
      </c>
      <c r="K38" s="1">
        <v>3567500</v>
      </c>
      <c r="L38" s="1">
        <v>145700</v>
      </c>
      <c r="M38" s="1">
        <v>45000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</row>
    <row r="39" spans="1:27" x14ac:dyDescent="0.25">
      <c r="A39" t="s">
        <v>50</v>
      </c>
      <c r="B39" s="1">
        <v>64400</v>
      </c>
      <c r="C39" s="1">
        <v>28800</v>
      </c>
      <c r="D39" s="1">
        <v>156900</v>
      </c>
      <c r="E39" s="1">
        <v>55500</v>
      </c>
      <c r="F39" s="1">
        <v>184600</v>
      </c>
      <c r="G39">
        <v>100</v>
      </c>
      <c r="H39">
        <v>100</v>
      </c>
      <c r="I39">
        <v>0</v>
      </c>
      <c r="J39">
        <v>0</v>
      </c>
      <c r="K39" s="1">
        <v>3074300</v>
      </c>
      <c r="L39" s="1">
        <v>217000</v>
      </c>
      <c r="M39" s="1">
        <v>51000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</row>
    <row r="40" spans="1:27" x14ac:dyDescent="0.25">
      <c r="A40" t="s">
        <v>51</v>
      </c>
      <c r="B40" s="1">
        <v>70200</v>
      </c>
      <c r="C40" s="1">
        <v>38900</v>
      </c>
      <c r="D40" s="1">
        <v>245400</v>
      </c>
      <c r="E40" s="1">
        <v>73900</v>
      </c>
      <c r="F40" s="1">
        <v>661700</v>
      </c>
      <c r="G40">
        <v>500</v>
      </c>
      <c r="H40">
        <v>100</v>
      </c>
      <c r="I40">
        <v>0</v>
      </c>
      <c r="J40">
        <v>0</v>
      </c>
      <c r="K40" s="1">
        <v>8886400</v>
      </c>
      <c r="L40" s="1">
        <v>192100</v>
      </c>
      <c r="M40" s="1">
        <v>41800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</row>
    <row r="41" spans="1:27" x14ac:dyDescent="0.25">
      <c r="A41" t="s">
        <v>52</v>
      </c>
      <c r="B41" s="1">
        <v>6400</v>
      </c>
      <c r="C41" s="1">
        <v>5100</v>
      </c>
      <c r="D41" s="1">
        <v>22100</v>
      </c>
      <c r="E41" s="1">
        <v>3100</v>
      </c>
      <c r="F41" s="1">
        <v>41900</v>
      </c>
      <c r="G41">
        <v>0</v>
      </c>
      <c r="H41">
        <v>0</v>
      </c>
      <c r="I41">
        <v>0</v>
      </c>
      <c r="J41">
        <v>0</v>
      </c>
      <c r="K41" s="1">
        <v>782000</v>
      </c>
      <c r="L41" s="1">
        <v>11000</v>
      </c>
      <c r="M41" s="1">
        <v>6000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</row>
    <row r="42" spans="1:27" x14ac:dyDescent="0.25">
      <c r="A42" t="s">
        <v>53</v>
      </c>
      <c r="B42" s="1">
        <v>20900</v>
      </c>
      <c r="C42" s="1">
        <v>9000</v>
      </c>
      <c r="D42" s="1">
        <v>83100</v>
      </c>
      <c r="E42" s="1">
        <v>44600</v>
      </c>
      <c r="F42" s="1">
        <v>404600</v>
      </c>
      <c r="G42">
        <v>100</v>
      </c>
      <c r="H42">
        <v>100</v>
      </c>
      <c r="I42">
        <v>0</v>
      </c>
      <c r="J42">
        <v>0</v>
      </c>
      <c r="K42" s="1">
        <v>4325000</v>
      </c>
      <c r="L42" s="1">
        <v>110100</v>
      </c>
      <c r="M42" s="1">
        <v>44900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  <c r="Z42" t="b">
        <v>1</v>
      </c>
      <c r="AA42" t="b">
        <v>1</v>
      </c>
    </row>
    <row r="43" spans="1:27" x14ac:dyDescent="0.25">
      <c r="A43" t="s">
        <v>54</v>
      </c>
      <c r="B43" s="1">
        <v>1700</v>
      </c>
      <c r="C43" s="1">
        <v>1300</v>
      </c>
      <c r="D43" s="1">
        <v>11900</v>
      </c>
      <c r="E43" s="1">
        <v>21500</v>
      </c>
      <c r="F43" s="1">
        <v>98800</v>
      </c>
      <c r="G43">
        <v>0</v>
      </c>
      <c r="H43">
        <v>0</v>
      </c>
      <c r="I43">
        <v>0</v>
      </c>
      <c r="J43">
        <v>0</v>
      </c>
      <c r="K43" s="1">
        <v>718300</v>
      </c>
      <c r="L43" s="1">
        <v>51200</v>
      </c>
      <c r="M43" s="1">
        <v>13300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</row>
    <row r="44" spans="1:27" x14ac:dyDescent="0.25">
      <c r="A44" t="s">
        <v>55</v>
      </c>
      <c r="B44" s="1">
        <v>33200</v>
      </c>
      <c r="C44" s="1">
        <v>11000</v>
      </c>
      <c r="D44" s="1">
        <v>113300</v>
      </c>
      <c r="E44" s="1">
        <v>53100</v>
      </c>
      <c r="F44" s="1">
        <v>509000</v>
      </c>
      <c r="G44">
        <v>200</v>
      </c>
      <c r="H44">
        <v>100</v>
      </c>
      <c r="I44">
        <v>0</v>
      </c>
      <c r="J44">
        <v>0</v>
      </c>
      <c r="K44" s="1">
        <v>5620500</v>
      </c>
      <c r="L44" s="1">
        <v>160700</v>
      </c>
      <c r="M44" s="1">
        <v>37700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</row>
    <row r="45" spans="1:27" x14ac:dyDescent="0.25">
      <c r="A45" t="s">
        <v>56</v>
      </c>
      <c r="B45" s="1">
        <v>230100</v>
      </c>
      <c r="C45" s="1">
        <v>55300</v>
      </c>
      <c r="D45" s="1">
        <v>445100</v>
      </c>
      <c r="E45" s="1">
        <v>460700</v>
      </c>
      <c r="F45" s="1">
        <v>2315400</v>
      </c>
      <c r="G45" s="1">
        <v>1300</v>
      </c>
      <c r="H45" s="1">
        <v>1300</v>
      </c>
      <c r="I45">
        <v>0</v>
      </c>
      <c r="J45">
        <v>0</v>
      </c>
      <c r="K45" s="1">
        <v>21392800</v>
      </c>
      <c r="L45" s="1">
        <v>772800</v>
      </c>
      <c r="M45" s="1">
        <v>121800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</row>
    <row r="46" spans="1:27" x14ac:dyDescent="0.25">
      <c r="A46" t="s">
        <v>57</v>
      </c>
      <c r="B46" s="1">
        <v>40000</v>
      </c>
      <c r="C46" s="1">
        <v>13000</v>
      </c>
      <c r="D46" s="1">
        <v>83200</v>
      </c>
      <c r="E46" s="1">
        <v>68500</v>
      </c>
      <c r="F46" s="1">
        <v>185200</v>
      </c>
      <c r="G46" s="1">
        <v>2200</v>
      </c>
      <c r="H46">
        <v>500</v>
      </c>
      <c r="I46">
        <v>0</v>
      </c>
      <c r="J46">
        <v>0</v>
      </c>
      <c r="K46" s="1">
        <v>2499600</v>
      </c>
      <c r="L46" s="1">
        <v>158000</v>
      </c>
      <c r="M46" s="1">
        <v>26000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</row>
    <row r="47" spans="1:27" x14ac:dyDescent="0.25">
      <c r="A47" t="s">
        <v>58</v>
      </c>
      <c r="B47" s="1">
        <v>7800</v>
      </c>
      <c r="C47" s="1">
        <v>5700</v>
      </c>
      <c r="D47" s="1">
        <v>20300</v>
      </c>
      <c r="E47" s="1">
        <v>7000</v>
      </c>
      <c r="F47" s="1">
        <v>36600</v>
      </c>
      <c r="G47">
        <v>0</v>
      </c>
      <c r="H47">
        <v>0</v>
      </c>
      <c r="I47">
        <v>0</v>
      </c>
      <c r="J47">
        <v>0</v>
      </c>
      <c r="K47" s="1">
        <v>496000</v>
      </c>
      <c r="L47" s="1">
        <v>14700</v>
      </c>
      <c r="M47" s="1">
        <v>5000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</row>
    <row r="48" spans="1:27" x14ac:dyDescent="0.25">
      <c r="A48" t="s">
        <v>59</v>
      </c>
      <c r="B48" s="1">
        <v>84900</v>
      </c>
      <c r="C48" s="1">
        <v>26800</v>
      </c>
      <c r="D48" s="1">
        <v>229400</v>
      </c>
      <c r="E48" s="1">
        <v>44300</v>
      </c>
      <c r="F48" s="1">
        <v>484800</v>
      </c>
      <c r="G48">
        <v>300</v>
      </c>
      <c r="H48">
        <v>0</v>
      </c>
      <c r="I48">
        <v>0</v>
      </c>
      <c r="J48">
        <v>0</v>
      </c>
      <c r="K48" s="1">
        <v>6670000</v>
      </c>
      <c r="L48" s="1">
        <v>152800</v>
      </c>
      <c r="M48" s="1">
        <v>30200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</row>
    <row r="49" spans="1:27" x14ac:dyDescent="0.25">
      <c r="A49" t="s">
        <v>60</v>
      </c>
      <c r="B49" s="1">
        <v>152100</v>
      </c>
      <c r="C49" s="1">
        <v>41200</v>
      </c>
      <c r="D49" s="1">
        <v>307200</v>
      </c>
      <c r="E49" s="1">
        <v>73800</v>
      </c>
      <c r="F49" s="1">
        <v>337700</v>
      </c>
      <c r="G49">
        <v>100</v>
      </c>
      <c r="H49">
        <v>100</v>
      </c>
      <c r="I49">
        <v>0</v>
      </c>
      <c r="J49">
        <v>0</v>
      </c>
      <c r="K49" s="1">
        <v>5583000</v>
      </c>
      <c r="L49" s="1">
        <v>274200</v>
      </c>
      <c r="M49" s="1">
        <v>46700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  <c r="X49" t="b">
        <v>1</v>
      </c>
      <c r="Y49" t="b">
        <v>1</v>
      </c>
      <c r="Z49" t="b">
        <v>1</v>
      </c>
      <c r="AA49" t="b">
        <v>1</v>
      </c>
    </row>
    <row r="50" spans="1:27" x14ac:dyDescent="0.25">
      <c r="A50" t="s">
        <v>61</v>
      </c>
      <c r="B50" s="1">
        <v>2800</v>
      </c>
      <c r="C50" s="1">
        <v>1800</v>
      </c>
      <c r="D50" s="1">
        <v>22400</v>
      </c>
      <c r="E50" s="1">
        <v>17300</v>
      </c>
      <c r="F50" s="1">
        <v>123400</v>
      </c>
      <c r="G50">
        <v>100</v>
      </c>
      <c r="H50">
        <v>0</v>
      </c>
      <c r="I50">
        <v>0</v>
      </c>
      <c r="J50">
        <v>0</v>
      </c>
      <c r="K50" s="1">
        <v>1281500</v>
      </c>
      <c r="L50" s="1">
        <v>46400</v>
      </c>
      <c r="M50" s="1">
        <v>15200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b">
        <v>1</v>
      </c>
      <c r="X50" t="b">
        <v>1</v>
      </c>
      <c r="Y50" t="b">
        <v>1</v>
      </c>
      <c r="Z50" t="b">
        <v>1</v>
      </c>
      <c r="AA50" t="b">
        <v>1</v>
      </c>
    </row>
    <row r="51" spans="1:27" x14ac:dyDescent="0.25">
      <c r="A51" t="s">
        <v>62</v>
      </c>
      <c r="B51" s="1">
        <v>24900</v>
      </c>
      <c r="C51" s="1">
        <v>12500</v>
      </c>
      <c r="D51" s="1">
        <v>123600</v>
      </c>
      <c r="E51" s="1">
        <v>52900</v>
      </c>
      <c r="F51" s="1">
        <v>536200</v>
      </c>
      <c r="G51">
        <v>300</v>
      </c>
      <c r="H51">
        <v>0</v>
      </c>
      <c r="I51">
        <v>0</v>
      </c>
      <c r="J51">
        <v>0</v>
      </c>
      <c r="K51" s="1">
        <v>4604700</v>
      </c>
      <c r="L51" s="1">
        <v>147500</v>
      </c>
      <c r="M51" s="1">
        <v>26400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  <c r="X51" t="b">
        <v>1</v>
      </c>
      <c r="Y51" t="b">
        <v>1</v>
      </c>
      <c r="Z51" t="b">
        <v>1</v>
      </c>
      <c r="AA51" t="b">
        <v>1</v>
      </c>
    </row>
    <row r="52" spans="1:27" x14ac:dyDescent="0.25">
      <c r="A52" t="s">
        <v>63</v>
      </c>
      <c r="B52" s="1">
        <v>1100</v>
      </c>
      <c r="C52">
        <v>800</v>
      </c>
      <c r="D52" s="1">
        <v>8400</v>
      </c>
      <c r="E52" s="1">
        <v>21200</v>
      </c>
      <c r="F52" s="1">
        <v>57700</v>
      </c>
      <c r="G52">
        <v>0</v>
      </c>
      <c r="H52">
        <v>0</v>
      </c>
      <c r="I52">
        <v>0</v>
      </c>
      <c r="J52">
        <v>0</v>
      </c>
      <c r="K52" s="1">
        <v>489100</v>
      </c>
      <c r="L52" s="1">
        <v>60900</v>
      </c>
      <c r="M52" s="1">
        <v>13700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 t="b">
        <v>1</v>
      </c>
      <c r="X52" t="b">
        <v>1</v>
      </c>
      <c r="Y52" t="b">
        <v>1</v>
      </c>
      <c r="Z52" t="b">
        <v>1</v>
      </c>
      <c r="AA5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7C66-E8FC-4435-8714-47929F3612D0}">
  <dimension ref="A1:M56"/>
  <sheetViews>
    <sheetView topLeftCell="A35" workbookViewId="0">
      <selection activeCell="B2" sqref="B2:M52"/>
    </sheetView>
  </sheetViews>
  <sheetFormatPr defaultRowHeight="15" x14ac:dyDescent="0.25"/>
  <cols>
    <col min="1" max="1" width="15.5703125" customWidth="1"/>
    <col min="2" max="2" width="14" customWidth="1"/>
    <col min="3" max="3" width="17.140625" customWidth="1"/>
    <col min="4" max="4" width="9.140625" customWidth="1"/>
    <col min="5" max="5" width="10.7109375" customWidth="1"/>
    <col min="6" max="6" width="17.5703125" customWidth="1"/>
    <col min="7" max="7" width="24.28515625" customWidth="1"/>
    <col min="10" max="10" width="10.85546875" customWidth="1"/>
    <col min="11" max="11" width="13" customWidth="1"/>
    <col min="13" max="13" width="14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56</v>
      </c>
      <c r="B2" s="1">
        <v>230100</v>
      </c>
      <c r="C2" s="1">
        <v>55300</v>
      </c>
      <c r="D2" s="1">
        <v>445100</v>
      </c>
      <c r="E2" s="1">
        <v>460700</v>
      </c>
      <c r="F2" s="1">
        <v>2315400</v>
      </c>
      <c r="G2" s="1">
        <v>1300</v>
      </c>
      <c r="H2" s="1">
        <v>1300</v>
      </c>
      <c r="I2">
        <v>0</v>
      </c>
      <c r="J2">
        <v>0</v>
      </c>
      <c r="K2" s="1">
        <v>21392800</v>
      </c>
      <c r="L2" s="1">
        <v>772800</v>
      </c>
      <c r="M2" s="1">
        <v>121800</v>
      </c>
    </row>
    <row r="3" spans="1:13" x14ac:dyDescent="0.25">
      <c r="A3" t="s">
        <v>22</v>
      </c>
      <c r="B3" s="1">
        <v>254900</v>
      </c>
      <c r="C3" s="1">
        <v>57300</v>
      </c>
      <c r="D3" s="1">
        <v>414500</v>
      </c>
      <c r="E3" s="1">
        <v>170500</v>
      </c>
      <c r="F3" s="1">
        <v>1101100</v>
      </c>
      <c r="G3">
        <v>400</v>
      </c>
      <c r="H3">
        <v>100</v>
      </c>
      <c r="I3">
        <v>0</v>
      </c>
      <c r="J3">
        <v>0</v>
      </c>
      <c r="K3" s="1">
        <v>16136500</v>
      </c>
      <c r="L3" s="1">
        <v>351800</v>
      </c>
      <c r="M3" s="1">
        <v>96100</v>
      </c>
    </row>
    <row r="4" spans="1:13" x14ac:dyDescent="0.25">
      <c r="A4" t="s">
        <v>45</v>
      </c>
      <c r="B4" s="1">
        <v>131300</v>
      </c>
      <c r="C4" s="1">
        <v>92300</v>
      </c>
      <c r="D4" s="1">
        <v>314000</v>
      </c>
      <c r="E4" s="1">
        <v>54300</v>
      </c>
      <c r="F4" s="1">
        <v>591100</v>
      </c>
      <c r="G4">
        <v>400</v>
      </c>
      <c r="H4">
        <v>100</v>
      </c>
      <c r="I4">
        <v>0</v>
      </c>
      <c r="J4">
        <v>0</v>
      </c>
      <c r="K4" s="1">
        <v>9905500</v>
      </c>
      <c r="L4" s="1">
        <v>150500</v>
      </c>
      <c r="M4" s="1">
        <v>79100</v>
      </c>
    </row>
    <row r="5" spans="1:13" x14ac:dyDescent="0.25">
      <c r="A5" t="s">
        <v>23</v>
      </c>
      <c r="B5" s="1">
        <v>92400</v>
      </c>
      <c r="C5" s="1">
        <v>22700</v>
      </c>
      <c r="D5" s="1">
        <v>175300</v>
      </c>
      <c r="E5" s="1">
        <v>92500</v>
      </c>
      <c r="F5" s="1">
        <v>719400</v>
      </c>
      <c r="G5">
        <v>300</v>
      </c>
      <c r="H5">
        <v>200</v>
      </c>
      <c r="I5">
        <v>0</v>
      </c>
      <c r="J5">
        <v>0</v>
      </c>
      <c r="K5" s="1">
        <v>8256400</v>
      </c>
      <c r="L5" s="1">
        <v>206300</v>
      </c>
      <c r="M5" s="1">
        <v>76900</v>
      </c>
    </row>
    <row r="6" spans="1:13" x14ac:dyDescent="0.25">
      <c r="A6" t="s">
        <v>46</v>
      </c>
      <c r="B6" s="1">
        <v>70200</v>
      </c>
      <c r="C6" s="1">
        <v>23700</v>
      </c>
      <c r="D6" s="1">
        <v>210600</v>
      </c>
      <c r="E6" s="1">
        <v>80200</v>
      </c>
      <c r="F6" s="1">
        <v>655000</v>
      </c>
      <c r="G6">
        <v>300</v>
      </c>
      <c r="H6">
        <v>100</v>
      </c>
      <c r="I6">
        <v>0</v>
      </c>
      <c r="J6">
        <v>0</v>
      </c>
      <c r="K6" s="1">
        <v>7764000</v>
      </c>
      <c r="L6" s="1">
        <v>209700</v>
      </c>
      <c r="M6" s="1">
        <v>71700</v>
      </c>
    </row>
    <row r="7" spans="1:13" x14ac:dyDescent="0.25">
      <c r="A7" t="s">
        <v>15</v>
      </c>
      <c r="B7" s="1">
        <v>89800</v>
      </c>
      <c r="C7" s="1">
        <v>25600</v>
      </c>
      <c r="D7" s="1">
        <v>175700</v>
      </c>
      <c r="E7" s="1">
        <v>68600</v>
      </c>
      <c r="F7" s="1">
        <v>437100</v>
      </c>
      <c r="G7">
        <v>600</v>
      </c>
      <c r="H7">
        <v>700</v>
      </c>
      <c r="I7">
        <v>0</v>
      </c>
      <c r="J7">
        <v>0</v>
      </c>
      <c r="K7" s="1">
        <v>5469000</v>
      </c>
      <c r="L7" s="1">
        <v>197700</v>
      </c>
      <c r="M7" s="1">
        <v>64200</v>
      </c>
    </row>
    <row r="8" spans="1:13" x14ac:dyDescent="0.25">
      <c r="A8" t="s">
        <v>48</v>
      </c>
      <c r="B8" s="1">
        <v>50400</v>
      </c>
      <c r="C8" s="1">
        <v>24000</v>
      </c>
      <c r="D8" s="1">
        <v>199800</v>
      </c>
      <c r="E8" s="1">
        <v>70300</v>
      </c>
      <c r="F8" s="1">
        <v>833500</v>
      </c>
      <c r="G8">
        <v>700</v>
      </c>
      <c r="H8">
        <v>100</v>
      </c>
      <c r="I8">
        <v>0</v>
      </c>
      <c r="J8">
        <v>0</v>
      </c>
      <c r="K8" s="1">
        <v>8881400</v>
      </c>
      <c r="L8" s="1">
        <v>196200</v>
      </c>
      <c r="M8" s="1">
        <v>60900</v>
      </c>
    </row>
    <row r="9" spans="1:13" x14ac:dyDescent="0.25">
      <c r="A9" t="s">
        <v>26</v>
      </c>
      <c r="B9" s="1">
        <v>99600</v>
      </c>
      <c r="C9" s="1">
        <v>33400</v>
      </c>
      <c r="D9" s="1">
        <v>285400</v>
      </c>
      <c r="E9" s="1">
        <v>61500</v>
      </c>
      <c r="F9" s="1">
        <v>772900</v>
      </c>
      <c r="G9">
        <v>300</v>
      </c>
      <c r="H9">
        <v>0</v>
      </c>
      <c r="I9">
        <v>0</v>
      </c>
      <c r="J9">
        <v>0</v>
      </c>
      <c r="K9" s="1">
        <v>8560300</v>
      </c>
      <c r="L9" s="1">
        <v>170200</v>
      </c>
      <c r="M9" s="1">
        <v>59600</v>
      </c>
    </row>
    <row r="10" spans="1:13" x14ac:dyDescent="0.25">
      <c r="A10" t="s">
        <v>27</v>
      </c>
      <c r="B10" s="1">
        <v>26100</v>
      </c>
      <c r="C10" s="1">
        <v>12900</v>
      </c>
      <c r="D10" s="1">
        <v>119100</v>
      </c>
      <c r="E10" s="1">
        <v>56300</v>
      </c>
      <c r="F10" s="1">
        <v>576300</v>
      </c>
      <c r="G10">
        <v>300</v>
      </c>
      <c r="H10">
        <v>0</v>
      </c>
      <c r="I10">
        <v>0</v>
      </c>
      <c r="J10">
        <v>0</v>
      </c>
      <c r="K10" s="1">
        <v>5166200</v>
      </c>
      <c r="L10" s="1">
        <v>156400</v>
      </c>
      <c r="M10" s="1">
        <v>58500</v>
      </c>
    </row>
    <row r="11" spans="1:13" x14ac:dyDescent="0.25">
      <c r="A11" t="s">
        <v>28</v>
      </c>
      <c r="B11" s="1">
        <v>9000</v>
      </c>
      <c r="C11" s="1">
        <v>6100</v>
      </c>
      <c r="D11" s="1">
        <v>57200</v>
      </c>
      <c r="E11" s="1">
        <v>41700</v>
      </c>
      <c r="F11" s="1">
        <v>331300</v>
      </c>
      <c r="G11">
        <v>100</v>
      </c>
      <c r="H11">
        <v>0</v>
      </c>
      <c r="I11">
        <v>0</v>
      </c>
      <c r="J11">
        <v>0</v>
      </c>
      <c r="K11" s="1">
        <v>2545400</v>
      </c>
      <c r="L11" s="1">
        <v>105000</v>
      </c>
      <c r="M11" s="1">
        <v>57500</v>
      </c>
    </row>
    <row r="12" spans="1:13" x14ac:dyDescent="0.25">
      <c r="A12" t="s">
        <v>50</v>
      </c>
      <c r="B12" s="1">
        <v>64400</v>
      </c>
      <c r="C12" s="1">
        <v>28800</v>
      </c>
      <c r="D12" s="1">
        <v>156900</v>
      </c>
      <c r="E12" s="1">
        <v>55500</v>
      </c>
      <c r="F12" s="1">
        <v>184600</v>
      </c>
      <c r="G12">
        <v>100</v>
      </c>
      <c r="H12">
        <v>100</v>
      </c>
      <c r="I12">
        <v>0</v>
      </c>
      <c r="J12">
        <v>0</v>
      </c>
      <c r="K12" s="1">
        <v>3074300</v>
      </c>
      <c r="L12" s="1">
        <v>217000</v>
      </c>
      <c r="M12" s="1">
        <v>51000</v>
      </c>
    </row>
    <row r="13" spans="1:13" x14ac:dyDescent="0.25">
      <c r="A13" t="s">
        <v>35</v>
      </c>
      <c r="B13" s="1">
        <v>50300</v>
      </c>
      <c r="C13" s="1">
        <v>29100</v>
      </c>
      <c r="D13" s="1">
        <v>148100</v>
      </c>
      <c r="E13" s="1">
        <v>70400</v>
      </c>
      <c r="F13" s="1">
        <v>873700</v>
      </c>
      <c r="G13">
        <v>300</v>
      </c>
      <c r="H13">
        <v>0</v>
      </c>
      <c r="I13">
        <v>0</v>
      </c>
      <c r="J13">
        <v>0</v>
      </c>
      <c r="K13" s="1">
        <v>7129600</v>
      </c>
      <c r="L13" s="1">
        <v>174500</v>
      </c>
      <c r="M13" s="1">
        <v>49400</v>
      </c>
    </row>
    <row r="14" spans="1:13" x14ac:dyDescent="0.25">
      <c r="A14" t="s">
        <v>60</v>
      </c>
      <c r="B14" s="1">
        <v>152100</v>
      </c>
      <c r="C14" s="1">
        <v>41200</v>
      </c>
      <c r="D14" s="1">
        <v>307200</v>
      </c>
      <c r="E14" s="1">
        <v>73800</v>
      </c>
      <c r="F14" s="1">
        <v>337700</v>
      </c>
      <c r="G14">
        <v>100</v>
      </c>
      <c r="H14">
        <v>100</v>
      </c>
      <c r="I14">
        <v>0</v>
      </c>
      <c r="J14">
        <v>0</v>
      </c>
      <c r="K14" s="1">
        <v>5583000</v>
      </c>
      <c r="L14" s="1">
        <v>274200</v>
      </c>
      <c r="M14" s="1">
        <v>46700</v>
      </c>
    </row>
    <row r="15" spans="1:13" x14ac:dyDescent="0.25">
      <c r="A15" t="s">
        <v>18</v>
      </c>
      <c r="B15" s="1">
        <v>90100</v>
      </c>
      <c r="C15" s="1">
        <v>37500</v>
      </c>
      <c r="D15" s="1">
        <v>152700</v>
      </c>
      <c r="E15" s="1">
        <v>68100</v>
      </c>
      <c r="F15" s="1">
        <v>334300</v>
      </c>
      <c r="G15">
        <v>300</v>
      </c>
      <c r="H15">
        <v>100</v>
      </c>
      <c r="I15">
        <v>0</v>
      </c>
      <c r="J15">
        <v>0</v>
      </c>
      <c r="K15" s="1">
        <v>4508800</v>
      </c>
      <c r="L15" s="1">
        <v>203400</v>
      </c>
      <c r="M15" s="1">
        <v>46500</v>
      </c>
    </row>
    <row r="16" spans="1:13" x14ac:dyDescent="0.25">
      <c r="A16" t="s">
        <v>49</v>
      </c>
      <c r="B16" s="1">
        <v>22800</v>
      </c>
      <c r="C16" s="1">
        <v>33000</v>
      </c>
      <c r="D16" s="1">
        <v>56400</v>
      </c>
      <c r="E16" s="1">
        <v>63100</v>
      </c>
      <c r="F16" s="1">
        <v>352400</v>
      </c>
      <c r="G16" s="1">
        <v>1800</v>
      </c>
      <c r="H16">
        <v>200</v>
      </c>
      <c r="I16">
        <v>0</v>
      </c>
      <c r="J16">
        <v>0</v>
      </c>
      <c r="K16" s="1">
        <v>3567500</v>
      </c>
      <c r="L16" s="1">
        <v>145700</v>
      </c>
      <c r="M16" s="1">
        <v>45000</v>
      </c>
    </row>
    <row r="17" spans="1:13" x14ac:dyDescent="0.25">
      <c r="A17" t="s">
        <v>53</v>
      </c>
      <c r="B17" s="1">
        <v>20900</v>
      </c>
      <c r="C17" s="1">
        <v>9000</v>
      </c>
      <c r="D17" s="1">
        <v>83100</v>
      </c>
      <c r="E17" s="1">
        <v>44600</v>
      </c>
      <c r="F17" s="1">
        <v>404600</v>
      </c>
      <c r="G17">
        <v>100</v>
      </c>
      <c r="H17">
        <v>100</v>
      </c>
      <c r="I17">
        <v>0</v>
      </c>
      <c r="J17">
        <v>0</v>
      </c>
      <c r="K17" s="1">
        <v>4325000</v>
      </c>
      <c r="L17" s="1">
        <v>110100</v>
      </c>
      <c r="M17" s="1">
        <v>44900</v>
      </c>
    </row>
    <row r="18" spans="1:13" x14ac:dyDescent="0.25">
      <c r="A18" t="s">
        <v>51</v>
      </c>
      <c r="B18" s="1">
        <v>70200</v>
      </c>
      <c r="C18" s="1">
        <v>38900</v>
      </c>
      <c r="D18" s="1">
        <v>245400</v>
      </c>
      <c r="E18" s="1">
        <v>73900</v>
      </c>
      <c r="F18" s="1">
        <v>661700</v>
      </c>
      <c r="G18">
        <v>500</v>
      </c>
      <c r="H18">
        <v>100</v>
      </c>
      <c r="I18">
        <v>0</v>
      </c>
      <c r="J18">
        <v>0</v>
      </c>
      <c r="K18" s="1">
        <v>8886400</v>
      </c>
      <c r="L18" s="1">
        <v>192100</v>
      </c>
      <c r="M18" s="1">
        <v>41800</v>
      </c>
    </row>
    <row r="19" spans="1:13" x14ac:dyDescent="0.25">
      <c r="A19" t="s">
        <v>55</v>
      </c>
      <c r="B19" s="1">
        <v>33200</v>
      </c>
      <c r="C19" s="1">
        <v>11000</v>
      </c>
      <c r="D19" s="1">
        <v>113300</v>
      </c>
      <c r="E19" s="1">
        <v>53100</v>
      </c>
      <c r="F19" s="1">
        <v>509000</v>
      </c>
      <c r="G19">
        <v>200</v>
      </c>
      <c r="H19">
        <v>100</v>
      </c>
      <c r="I19">
        <v>0</v>
      </c>
      <c r="J19">
        <v>0</v>
      </c>
      <c r="K19" s="1">
        <v>5620500</v>
      </c>
      <c r="L19" s="1">
        <v>160700</v>
      </c>
      <c r="M19" s="1">
        <v>37700</v>
      </c>
    </row>
    <row r="20" spans="1:13" x14ac:dyDescent="0.25">
      <c r="A20" t="s">
        <v>38</v>
      </c>
      <c r="B20" s="1">
        <v>26900</v>
      </c>
      <c r="C20" s="1">
        <v>13900</v>
      </c>
      <c r="D20" s="1">
        <v>113900</v>
      </c>
      <c r="E20" s="1">
        <v>70400</v>
      </c>
      <c r="F20" s="1">
        <v>575500</v>
      </c>
      <c r="G20">
        <v>900</v>
      </c>
      <c r="H20">
        <v>100</v>
      </c>
      <c r="I20">
        <v>0</v>
      </c>
      <c r="J20">
        <v>0</v>
      </c>
      <c r="K20" s="1">
        <v>4608600</v>
      </c>
      <c r="L20" s="1">
        <v>178200</v>
      </c>
      <c r="M20" s="1">
        <v>37600</v>
      </c>
    </row>
    <row r="21" spans="1:13" x14ac:dyDescent="0.25">
      <c r="A21" t="s">
        <v>43</v>
      </c>
      <c r="B21" s="1">
        <v>134800</v>
      </c>
      <c r="C21" s="1">
        <v>40900</v>
      </c>
      <c r="D21" s="1">
        <v>174200</v>
      </c>
      <c r="E21" s="1">
        <v>27800</v>
      </c>
      <c r="F21" s="1">
        <v>392100</v>
      </c>
      <c r="G21">
        <v>300</v>
      </c>
      <c r="H21">
        <v>0</v>
      </c>
      <c r="I21">
        <v>0</v>
      </c>
      <c r="J21">
        <v>0</v>
      </c>
      <c r="K21" s="1">
        <v>6433000</v>
      </c>
      <c r="L21" s="1">
        <v>84600</v>
      </c>
      <c r="M21" s="1">
        <v>36400</v>
      </c>
    </row>
    <row r="22" spans="1:13" x14ac:dyDescent="0.25">
      <c r="A22" t="s">
        <v>25</v>
      </c>
      <c r="B22" s="1">
        <v>8500</v>
      </c>
      <c r="C22" s="1">
        <v>4600</v>
      </c>
      <c r="D22" s="1">
        <v>43700</v>
      </c>
      <c r="E22" s="1">
        <v>45900</v>
      </c>
      <c r="F22" s="1">
        <v>132900</v>
      </c>
      <c r="G22">
        <v>100</v>
      </c>
      <c r="H22">
        <v>100</v>
      </c>
      <c r="I22">
        <v>0</v>
      </c>
      <c r="J22">
        <v>0</v>
      </c>
      <c r="K22" s="1">
        <v>1568600</v>
      </c>
      <c r="L22" s="1">
        <v>138600</v>
      </c>
      <c r="M22" s="1">
        <v>31600</v>
      </c>
    </row>
    <row r="23" spans="1:13" x14ac:dyDescent="0.25">
      <c r="A23" t="s">
        <v>33</v>
      </c>
      <c r="B23" s="1">
        <v>72100</v>
      </c>
      <c r="C23" s="1">
        <v>31300</v>
      </c>
      <c r="D23" s="1">
        <v>168700</v>
      </c>
      <c r="E23" s="1">
        <v>32100</v>
      </c>
      <c r="F23" s="1">
        <v>309300</v>
      </c>
      <c r="G23">
        <v>300</v>
      </c>
      <c r="H23">
        <v>0</v>
      </c>
      <c r="I23">
        <v>0</v>
      </c>
      <c r="J23">
        <v>0</v>
      </c>
      <c r="K23" s="1">
        <v>4327800</v>
      </c>
      <c r="L23" s="1">
        <v>86900</v>
      </c>
      <c r="M23" s="1">
        <v>31500</v>
      </c>
    </row>
    <row r="24" spans="1:13" x14ac:dyDescent="0.25">
      <c r="A24" t="s">
        <v>59</v>
      </c>
      <c r="B24" s="1">
        <v>84900</v>
      </c>
      <c r="C24" s="1">
        <v>26800</v>
      </c>
      <c r="D24" s="1">
        <v>229400</v>
      </c>
      <c r="E24" s="1">
        <v>44300</v>
      </c>
      <c r="F24" s="1">
        <v>484800</v>
      </c>
      <c r="G24">
        <v>300</v>
      </c>
      <c r="H24">
        <v>0</v>
      </c>
      <c r="I24">
        <v>0</v>
      </c>
      <c r="J24">
        <v>0</v>
      </c>
      <c r="K24" s="1">
        <v>6670000</v>
      </c>
      <c r="L24" s="1">
        <v>152800</v>
      </c>
      <c r="M24" s="1">
        <v>30200</v>
      </c>
    </row>
    <row r="25" spans="1:13" x14ac:dyDescent="0.25">
      <c r="A25" t="s">
        <v>34</v>
      </c>
      <c r="B25" s="1">
        <v>73800</v>
      </c>
      <c r="C25" s="1">
        <v>43800</v>
      </c>
      <c r="D25" s="1">
        <v>187300</v>
      </c>
      <c r="E25" s="1">
        <v>21300</v>
      </c>
      <c r="F25" s="1">
        <v>285000</v>
      </c>
      <c r="G25">
        <v>200</v>
      </c>
      <c r="H25">
        <v>0</v>
      </c>
      <c r="I25">
        <v>0</v>
      </c>
      <c r="J25">
        <v>0</v>
      </c>
      <c r="K25" s="1">
        <v>4791300</v>
      </c>
      <c r="L25" s="1">
        <v>58400</v>
      </c>
      <c r="M25" s="1">
        <v>30000</v>
      </c>
    </row>
    <row r="26" spans="1:13" x14ac:dyDescent="0.25">
      <c r="A26" t="s">
        <v>13</v>
      </c>
      <c r="B26" s="1">
        <v>13000</v>
      </c>
      <c r="C26" s="1">
        <v>5800</v>
      </c>
      <c r="D26" s="1">
        <v>63300</v>
      </c>
      <c r="E26" s="1">
        <v>54200</v>
      </c>
      <c r="F26" s="1">
        <v>441200</v>
      </c>
      <c r="G26">
        <v>100</v>
      </c>
      <c r="H26">
        <v>100</v>
      </c>
      <c r="I26">
        <v>0</v>
      </c>
      <c r="J26">
        <v>0</v>
      </c>
      <c r="K26" s="1">
        <v>4102200</v>
      </c>
      <c r="L26" s="1">
        <v>127000</v>
      </c>
      <c r="M26" s="1">
        <v>29000</v>
      </c>
    </row>
    <row r="27" spans="1:13" x14ac:dyDescent="0.25">
      <c r="A27" t="s">
        <v>62</v>
      </c>
      <c r="B27" s="1">
        <v>24900</v>
      </c>
      <c r="C27" s="1">
        <v>12500</v>
      </c>
      <c r="D27" s="1">
        <v>123600</v>
      </c>
      <c r="E27" s="1">
        <v>52900</v>
      </c>
      <c r="F27" s="1">
        <v>536200</v>
      </c>
      <c r="G27">
        <v>300</v>
      </c>
      <c r="H27">
        <v>0</v>
      </c>
      <c r="I27">
        <v>0</v>
      </c>
      <c r="J27">
        <v>0</v>
      </c>
      <c r="K27" s="1">
        <v>4604700</v>
      </c>
      <c r="L27" s="1">
        <v>147500</v>
      </c>
      <c r="M27" s="1">
        <v>26400</v>
      </c>
    </row>
    <row r="28" spans="1:13" x14ac:dyDescent="0.25">
      <c r="A28" t="s">
        <v>57</v>
      </c>
      <c r="B28" s="1">
        <v>40000</v>
      </c>
      <c r="C28" s="1">
        <v>13000</v>
      </c>
      <c r="D28" s="1">
        <v>83200</v>
      </c>
      <c r="E28" s="1">
        <v>68500</v>
      </c>
      <c r="F28" s="1">
        <v>185200</v>
      </c>
      <c r="G28" s="1">
        <v>2200</v>
      </c>
      <c r="H28">
        <v>500</v>
      </c>
      <c r="I28">
        <v>0</v>
      </c>
      <c r="J28">
        <v>0</v>
      </c>
      <c r="K28" s="1">
        <v>2499600</v>
      </c>
      <c r="L28" s="1">
        <v>158000</v>
      </c>
      <c r="M28" s="1">
        <v>26000</v>
      </c>
    </row>
    <row r="29" spans="1:13" x14ac:dyDescent="0.25">
      <c r="A29" t="s">
        <v>40</v>
      </c>
      <c r="B29" s="1">
        <v>6900</v>
      </c>
      <c r="C29" s="1">
        <v>3800</v>
      </c>
      <c r="D29" s="1">
        <v>32600</v>
      </c>
      <c r="E29" s="1">
        <v>28900</v>
      </c>
      <c r="F29" s="1">
        <v>197100</v>
      </c>
      <c r="G29">
        <v>100</v>
      </c>
      <c r="H29">
        <v>0</v>
      </c>
      <c r="I29">
        <v>0</v>
      </c>
      <c r="J29">
        <v>0</v>
      </c>
      <c r="K29" s="1">
        <v>1600400</v>
      </c>
      <c r="L29" s="1">
        <v>76100</v>
      </c>
      <c r="M29" s="1">
        <v>25300</v>
      </c>
    </row>
    <row r="30" spans="1:13" x14ac:dyDescent="0.25">
      <c r="A30" t="s">
        <v>36</v>
      </c>
      <c r="B30" s="1">
        <v>37100</v>
      </c>
      <c r="C30" s="1">
        <v>16100</v>
      </c>
      <c r="D30" s="1">
        <v>124500</v>
      </c>
      <c r="E30" s="1">
        <v>52700</v>
      </c>
      <c r="F30" s="1">
        <v>516400</v>
      </c>
      <c r="G30">
        <v>100</v>
      </c>
      <c r="H30">
        <v>0</v>
      </c>
      <c r="I30">
        <v>0</v>
      </c>
      <c r="J30">
        <v>0</v>
      </c>
      <c r="K30" s="1">
        <v>4219200</v>
      </c>
      <c r="L30" s="1">
        <v>127900</v>
      </c>
      <c r="M30" s="1">
        <v>24500</v>
      </c>
    </row>
    <row r="31" spans="1:13" x14ac:dyDescent="0.25">
      <c r="A31" t="s">
        <v>30</v>
      </c>
      <c r="B31" s="1">
        <v>11600</v>
      </c>
      <c r="C31" s="1">
        <v>5600</v>
      </c>
      <c r="D31" s="1">
        <v>67100</v>
      </c>
      <c r="E31" s="1">
        <v>36900</v>
      </c>
      <c r="F31" s="1">
        <v>361200</v>
      </c>
      <c r="G31">
        <v>300</v>
      </c>
      <c r="H31">
        <v>0</v>
      </c>
      <c r="I31">
        <v>0</v>
      </c>
      <c r="J31">
        <v>0</v>
      </c>
      <c r="K31" s="1">
        <v>3415000</v>
      </c>
      <c r="L31" s="1">
        <v>117600</v>
      </c>
      <c r="M31" s="1">
        <v>24400</v>
      </c>
    </row>
    <row r="32" spans="1:13" x14ac:dyDescent="0.25">
      <c r="A32" t="s">
        <v>44</v>
      </c>
      <c r="B32" s="1">
        <v>10300</v>
      </c>
      <c r="C32" s="1">
        <v>4900</v>
      </c>
      <c r="D32" s="1">
        <v>44300</v>
      </c>
      <c r="E32" s="1">
        <v>32100</v>
      </c>
      <c r="F32" s="1">
        <v>151600</v>
      </c>
      <c r="G32">
        <v>100</v>
      </c>
      <c r="H32">
        <v>100</v>
      </c>
      <c r="I32">
        <v>0</v>
      </c>
      <c r="J32">
        <v>0</v>
      </c>
      <c r="K32" s="1">
        <v>1597600</v>
      </c>
      <c r="L32" s="1">
        <v>88500</v>
      </c>
      <c r="M32" s="1">
        <v>22900</v>
      </c>
    </row>
    <row r="33" spans="1:13" x14ac:dyDescent="0.25">
      <c r="A33" t="s">
        <v>19</v>
      </c>
      <c r="B33" s="1">
        <v>31600</v>
      </c>
      <c r="C33" s="1">
        <v>18400</v>
      </c>
      <c r="D33" s="1">
        <v>75300</v>
      </c>
      <c r="E33" s="1">
        <v>10900</v>
      </c>
      <c r="F33" s="1">
        <v>133600</v>
      </c>
      <c r="G33">
        <v>100</v>
      </c>
      <c r="H33">
        <v>0</v>
      </c>
      <c r="I33">
        <v>0</v>
      </c>
      <c r="J33">
        <v>0</v>
      </c>
      <c r="K33" s="1">
        <v>2612600</v>
      </c>
      <c r="L33" s="1">
        <v>42300</v>
      </c>
      <c r="M33" s="1">
        <v>20900</v>
      </c>
    </row>
    <row r="34" spans="1:13" x14ac:dyDescent="0.25">
      <c r="A34" t="s">
        <v>41</v>
      </c>
      <c r="B34" s="1">
        <v>47400</v>
      </c>
      <c r="C34" s="1">
        <v>10600</v>
      </c>
      <c r="D34" s="1">
        <v>69600</v>
      </c>
      <c r="E34" s="1">
        <v>27200</v>
      </c>
      <c r="F34" s="1">
        <v>125600</v>
      </c>
      <c r="G34">
        <v>200</v>
      </c>
      <c r="H34">
        <v>100</v>
      </c>
      <c r="I34">
        <v>0</v>
      </c>
      <c r="J34">
        <v>0</v>
      </c>
      <c r="K34" s="1">
        <v>2169300</v>
      </c>
      <c r="L34" s="1">
        <v>85800</v>
      </c>
      <c r="M34" s="1">
        <v>20300</v>
      </c>
    </row>
    <row r="35" spans="1:13" x14ac:dyDescent="0.25">
      <c r="A35" t="s">
        <v>31</v>
      </c>
      <c r="B35" s="1">
        <v>8200</v>
      </c>
      <c r="C35" s="1">
        <v>4000</v>
      </c>
      <c r="D35" s="1">
        <v>40200</v>
      </c>
      <c r="E35" s="1">
        <v>64200</v>
      </c>
      <c r="F35" s="1">
        <v>380100</v>
      </c>
      <c r="G35">
        <v>100</v>
      </c>
      <c r="H35">
        <v>0</v>
      </c>
      <c r="I35">
        <v>0</v>
      </c>
      <c r="J35">
        <v>0</v>
      </c>
      <c r="K35" s="1">
        <v>3142800</v>
      </c>
      <c r="L35" s="1">
        <v>115500</v>
      </c>
      <c r="M35" s="1">
        <v>19100</v>
      </c>
    </row>
    <row r="36" spans="1:13" x14ac:dyDescent="0.25">
      <c r="A36" t="s">
        <v>29</v>
      </c>
      <c r="B36" s="1">
        <v>11300</v>
      </c>
      <c r="C36" s="1">
        <v>5600</v>
      </c>
      <c r="D36" s="1">
        <v>50400</v>
      </c>
      <c r="E36" s="1">
        <v>27900</v>
      </c>
      <c r="F36" s="1">
        <v>253500</v>
      </c>
      <c r="G36">
        <v>200</v>
      </c>
      <c r="H36">
        <v>100</v>
      </c>
      <c r="I36">
        <v>0</v>
      </c>
      <c r="J36">
        <v>0</v>
      </c>
      <c r="K36" s="1">
        <v>2168600</v>
      </c>
      <c r="L36" s="1">
        <v>87400</v>
      </c>
      <c r="M36" s="1">
        <v>16100</v>
      </c>
    </row>
    <row r="37" spans="1:13" x14ac:dyDescent="0.25">
      <c r="A37" t="s">
        <v>61</v>
      </c>
      <c r="B37" s="1">
        <v>2800</v>
      </c>
      <c r="C37" s="1">
        <v>1800</v>
      </c>
      <c r="D37" s="1">
        <v>22400</v>
      </c>
      <c r="E37" s="1">
        <v>17300</v>
      </c>
      <c r="F37" s="1">
        <v>123400</v>
      </c>
      <c r="G37">
        <v>100</v>
      </c>
      <c r="H37">
        <v>0</v>
      </c>
      <c r="I37">
        <v>0</v>
      </c>
      <c r="J37">
        <v>0</v>
      </c>
      <c r="K37" s="1">
        <v>1281500</v>
      </c>
      <c r="L37" s="1">
        <v>46400</v>
      </c>
      <c r="M37" s="1">
        <v>15200</v>
      </c>
    </row>
    <row r="38" spans="1:13" x14ac:dyDescent="0.25">
      <c r="A38" t="s">
        <v>63</v>
      </c>
      <c r="B38" s="1">
        <v>1100</v>
      </c>
      <c r="C38">
        <v>800</v>
      </c>
      <c r="D38" s="1">
        <v>8400</v>
      </c>
      <c r="E38" s="1">
        <v>21200</v>
      </c>
      <c r="F38" s="1">
        <v>57700</v>
      </c>
      <c r="G38">
        <v>0</v>
      </c>
      <c r="H38">
        <v>0</v>
      </c>
      <c r="I38">
        <v>0</v>
      </c>
      <c r="J38">
        <v>0</v>
      </c>
      <c r="K38" s="1">
        <v>489100</v>
      </c>
      <c r="L38" s="1">
        <v>60900</v>
      </c>
      <c r="M38" s="1">
        <v>13700</v>
      </c>
    </row>
    <row r="39" spans="1:13" x14ac:dyDescent="0.25">
      <c r="A39" t="s">
        <v>54</v>
      </c>
      <c r="B39" s="1">
        <v>1700</v>
      </c>
      <c r="C39" s="1">
        <v>1300</v>
      </c>
      <c r="D39" s="1">
        <v>11900</v>
      </c>
      <c r="E39" s="1">
        <v>21500</v>
      </c>
      <c r="F39" s="1">
        <v>98800</v>
      </c>
      <c r="G39">
        <v>0</v>
      </c>
      <c r="H39">
        <v>0</v>
      </c>
      <c r="I39">
        <v>0</v>
      </c>
      <c r="J39">
        <v>0</v>
      </c>
      <c r="K39" s="1">
        <v>718300</v>
      </c>
      <c r="L39" s="1">
        <v>51200</v>
      </c>
      <c r="M39" s="1">
        <v>13300</v>
      </c>
    </row>
    <row r="40" spans="1:13" x14ac:dyDescent="0.25">
      <c r="A40" t="s">
        <v>42</v>
      </c>
      <c r="B40" s="1">
        <v>9900</v>
      </c>
      <c r="C40" s="1">
        <v>6600</v>
      </c>
      <c r="D40" s="1">
        <v>36800</v>
      </c>
      <c r="E40" s="1">
        <v>13900</v>
      </c>
      <c r="F40" s="1">
        <v>89600</v>
      </c>
      <c r="G40">
        <v>100</v>
      </c>
      <c r="H40">
        <v>0</v>
      </c>
      <c r="I40">
        <v>0</v>
      </c>
      <c r="J40">
        <v>0</v>
      </c>
      <c r="K40" s="1">
        <v>1185300</v>
      </c>
      <c r="L40" s="1">
        <v>29200</v>
      </c>
      <c r="M40" s="1">
        <v>12300</v>
      </c>
    </row>
    <row r="41" spans="1:13" x14ac:dyDescent="0.25">
      <c r="A41" t="s">
        <v>39</v>
      </c>
      <c r="B41" s="1">
        <v>4600</v>
      </c>
      <c r="C41" s="1">
        <v>2500</v>
      </c>
      <c r="D41" s="1">
        <v>21100</v>
      </c>
      <c r="E41" s="1">
        <v>37900</v>
      </c>
      <c r="F41" s="1">
        <v>94500</v>
      </c>
      <c r="G41">
        <v>0</v>
      </c>
      <c r="H41">
        <v>0</v>
      </c>
      <c r="I41">
        <v>0</v>
      </c>
      <c r="J41">
        <v>0</v>
      </c>
      <c r="K41" s="1">
        <v>780700</v>
      </c>
      <c r="L41" s="1">
        <v>69600</v>
      </c>
      <c r="M41" s="1">
        <v>10800</v>
      </c>
    </row>
    <row r="42" spans="1:13" x14ac:dyDescent="0.25">
      <c r="A42" t="s">
        <v>16</v>
      </c>
      <c r="B42" s="1">
        <v>7100</v>
      </c>
      <c r="C42" s="1">
        <v>3200</v>
      </c>
      <c r="D42" s="1">
        <v>37000</v>
      </c>
      <c r="E42" s="1">
        <v>37000</v>
      </c>
      <c r="F42" s="1">
        <v>276700</v>
      </c>
      <c r="G42">
        <v>200</v>
      </c>
      <c r="H42">
        <v>0</v>
      </c>
      <c r="I42">
        <v>0</v>
      </c>
      <c r="J42">
        <v>0</v>
      </c>
      <c r="K42" s="1">
        <v>2246100</v>
      </c>
      <c r="L42" s="1">
        <v>90700</v>
      </c>
      <c r="M42" s="1">
        <v>10300</v>
      </c>
    </row>
    <row r="43" spans="1:13" x14ac:dyDescent="0.25">
      <c r="A43" t="s">
        <v>37</v>
      </c>
      <c r="B43" s="1">
        <v>3600</v>
      </c>
      <c r="C43" s="1">
        <v>2000</v>
      </c>
      <c r="D43" s="1">
        <v>28200</v>
      </c>
      <c r="E43" s="1">
        <v>34900</v>
      </c>
      <c r="F43" s="1">
        <v>295200</v>
      </c>
      <c r="G43">
        <v>100</v>
      </c>
      <c r="H43">
        <v>0</v>
      </c>
      <c r="I43">
        <v>0</v>
      </c>
      <c r="J43">
        <v>0</v>
      </c>
      <c r="K43" s="1">
        <v>2275600</v>
      </c>
      <c r="L43" s="1">
        <v>75200</v>
      </c>
      <c r="M43" s="1">
        <v>8500</v>
      </c>
    </row>
    <row r="44" spans="1:13" x14ac:dyDescent="0.25">
      <c r="A44" t="s">
        <v>17</v>
      </c>
      <c r="B44" s="1">
        <v>1256600</v>
      </c>
      <c r="C44" s="1">
        <v>410700</v>
      </c>
      <c r="D44" s="1">
        <v>1703200</v>
      </c>
      <c r="E44" s="1">
        <v>201600</v>
      </c>
      <c r="F44" s="1">
        <v>1314600</v>
      </c>
      <c r="G44" s="1">
        <v>10100</v>
      </c>
      <c r="H44" s="1">
        <v>1500</v>
      </c>
      <c r="I44" s="1">
        <v>16900</v>
      </c>
      <c r="J44">
        <v>0</v>
      </c>
      <c r="K44" s="1">
        <v>31191900</v>
      </c>
      <c r="L44" s="1">
        <v>735300</v>
      </c>
      <c r="M44" s="1">
        <v>7900</v>
      </c>
    </row>
    <row r="45" spans="1:13" x14ac:dyDescent="0.25">
      <c r="A45" t="s">
        <v>32</v>
      </c>
      <c r="B45" s="1">
        <v>7400</v>
      </c>
      <c r="C45" s="1">
        <v>7600</v>
      </c>
      <c r="D45" s="1">
        <v>33600</v>
      </c>
      <c r="E45" s="1">
        <v>12000</v>
      </c>
      <c r="F45" s="1">
        <v>104500</v>
      </c>
      <c r="G45">
        <v>0</v>
      </c>
      <c r="H45">
        <v>0</v>
      </c>
      <c r="I45">
        <v>0</v>
      </c>
      <c r="J45">
        <v>0</v>
      </c>
      <c r="K45" s="1">
        <v>1036100</v>
      </c>
      <c r="L45" s="1">
        <v>26900</v>
      </c>
      <c r="M45" s="1">
        <v>7900</v>
      </c>
    </row>
    <row r="46" spans="1:13" x14ac:dyDescent="0.25">
      <c r="A46" t="s">
        <v>47</v>
      </c>
      <c r="B46" s="1">
        <v>1000</v>
      </c>
      <c r="C46">
        <v>800</v>
      </c>
      <c r="D46" s="1">
        <v>8200</v>
      </c>
      <c r="E46" s="1">
        <v>20400</v>
      </c>
      <c r="F46" s="1">
        <v>89900</v>
      </c>
      <c r="G46">
        <v>0</v>
      </c>
      <c r="H46">
        <v>0</v>
      </c>
      <c r="I46">
        <v>0</v>
      </c>
      <c r="J46">
        <v>0</v>
      </c>
      <c r="K46" s="1">
        <v>625300</v>
      </c>
      <c r="L46" s="1">
        <v>44600</v>
      </c>
      <c r="M46" s="1">
        <v>7200</v>
      </c>
    </row>
    <row r="47" spans="1:13" x14ac:dyDescent="0.25">
      <c r="A47" t="s">
        <v>52</v>
      </c>
      <c r="B47" s="1">
        <v>6400</v>
      </c>
      <c r="C47" s="1">
        <v>5100</v>
      </c>
      <c r="D47" s="1">
        <v>22100</v>
      </c>
      <c r="E47" s="1">
        <v>3100</v>
      </c>
      <c r="F47" s="1">
        <v>41900</v>
      </c>
      <c r="G47">
        <v>0</v>
      </c>
      <c r="H47">
        <v>0</v>
      </c>
      <c r="I47">
        <v>0</v>
      </c>
      <c r="J47">
        <v>0</v>
      </c>
      <c r="K47" s="1">
        <v>782000</v>
      </c>
      <c r="L47" s="1">
        <v>11000</v>
      </c>
      <c r="M47" s="1">
        <v>6000</v>
      </c>
    </row>
    <row r="48" spans="1:13" x14ac:dyDescent="0.25">
      <c r="A48" t="s">
        <v>20</v>
      </c>
      <c r="B48" s="1">
        <v>8400</v>
      </c>
      <c r="C48" s="1">
        <v>3800</v>
      </c>
      <c r="D48" s="1">
        <v>22900</v>
      </c>
      <c r="E48" s="1">
        <v>5100</v>
      </c>
      <c r="F48" s="1">
        <v>63900</v>
      </c>
      <c r="G48">
        <v>0</v>
      </c>
      <c r="H48">
        <v>0</v>
      </c>
      <c r="I48">
        <v>0</v>
      </c>
      <c r="J48">
        <v>0</v>
      </c>
      <c r="K48" s="1">
        <v>791300</v>
      </c>
      <c r="L48" s="1">
        <v>14200</v>
      </c>
      <c r="M48" s="1">
        <v>5100</v>
      </c>
    </row>
    <row r="49" spans="1:13" x14ac:dyDescent="0.25">
      <c r="A49" t="s">
        <v>14</v>
      </c>
      <c r="B49" s="1">
        <v>2700</v>
      </c>
      <c r="C49">
        <v>900</v>
      </c>
      <c r="D49" s="1">
        <v>10600</v>
      </c>
      <c r="E49" s="1">
        <v>9600</v>
      </c>
      <c r="F49" s="1">
        <v>46800</v>
      </c>
      <c r="G49">
        <v>0</v>
      </c>
      <c r="H49">
        <v>0</v>
      </c>
      <c r="I49">
        <v>0</v>
      </c>
      <c r="J49">
        <v>0</v>
      </c>
      <c r="K49" s="1">
        <v>454300</v>
      </c>
      <c r="L49" s="1">
        <v>29800</v>
      </c>
      <c r="M49" s="1">
        <v>5100</v>
      </c>
    </row>
    <row r="50" spans="1:13" x14ac:dyDescent="0.25">
      <c r="A50" t="s">
        <v>58</v>
      </c>
      <c r="B50" s="1">
        <v>7800</v>
      </c>
      <c r="C50" s="1">
        <v>5700</v>
      </c>
      <c r="D50" s="1">
        <v>20300</v>
      </c>
      <c r="E50" s="1">
        <v>7000</v>
      </c>
      <c r="F50" s="1">
        <v>36600</v>
      </c>
      <c r="G50">
        <v>0</v>
      </c>
      <c r="H50">
        <v>0</v>
      </c>
      <c r="I50">
        <v>0</v>
      </c>
      <c r="J50">
        <v>0</v>
      </c>
      <c r="K50" s="1">
        <v>496000</v>
      </c>
      <c r="L50" s="1">
        <v>14700</v>
      </c>
      <c r="M50" s="1">
        <v>5000</v>
      </c>
    </row>
    <row r="51" spans="1:13" x14ac:dyDescent="0.25">
      <c r="A51" t="s">
        <v>24</v>
      </c>
      <c r="B51" s="1">
        <v>25600</v>
      </c>
      <c r="C51" s="1">
        <v>7300</v>
      </c>
      <c r="D51" s="1">
        <v>36400</v>
      </c>
      <c r="E51" s="1">
        <v>3400</v>
      </c>
      <c r="F51" s="1">
        <v>37300</v>
      </c>
      <c r="G51">
        <v>0</v>
      </c>
      <c r="H51">
        <v>0</v>
      </c>
      <c r="I51">
        <v>0</v>
      </c>
      <c r="J51">
        <v>0</v>
      </c>
      <c r="K51" s="1">
        <v>951000</v>
      </c>
      <c r="L51" s="1">
        <v>15400</v>
      </c>
      <c r="M51" s="1">
        <v>3700</v>
      </c>
    </row>
    <row r="52" spans="1:13" x14ac:dyDescent="0.25">
      <c r="A52" t="s">
        <v>21</v>
      </c>
      <c r="B52" s="1">
        <v>8100</v>
      </c>
      <c r="C52" s="1">
        <v>3700</v>
      </c>
      <c r="D52" s="1">
        <v>18100</v>
      </c>
      <c r="E52">
        <v>400</v>
      </c>
      <c r="F52" s="1">
        <v>16800</v>
      </c>
      <c r="G52">
        <v>100</v>
      </c>
      <c r="H52">
        <v>0</v>
      </c>
      <c r="I52">
        <v>0</v>
      </c>
      <c r="J52">
        <v>0</v>
      </c>
      <c r="K52" s="1">
        <v>262500</v>
      </c>
      <c r="L52" s="1">
        <v>1800</v>
      </c>
      <c r="M52">
        <v>600</v>
      </c>
    </row>
    <row r="54" spans="1:13" x14ac:dyDescent="0.25">
      <c r="A54" s="2" t="s">
        <v>64</v>
      </c>
      <c r="B54" s="1">
        <f>SUM(B2:B52)</f>
        <v>3555900</v>
      </c>
      <c r="C54" s="1">
        <f>SUM(C2:C52)</f>
        <v>1307200</v>
      </c>
      <c r="D54" s="1">
        <f t="shared" ref="D54:M54" si="0">SUM(D2:D52)</f>
        <v>7392300</v>
      </c>
      <c r="E54" s="1">
        <f t="shared" si="0"/>
        <v>2803600</v>
      </c>
      <c r="F54" s="1">
        <f t="shared" si="0"/>
        <v>20240600</v>
      </c>
      <c r="G54" s="1">
        <f t="shared" si="0"/>
        <v>24700</v>
      </c>
      <c r="H54" s="1">
        <f t="shared" si="0"/>
        <v>6000</v>
      </c>
      <c r="I54" s="1">
        <f t="shared" si="0"/>
        <v>16900</v>
      </c>
      <c r="J54" s="1">
        <f t="shared" si="0"/>
        <v>0</v>
      </c>
      <c r="K54" s="1">
        <f t="shared" si="0"/>
        <v>242870900</v>
      </c>
      <c r="L54" s="1">
        <f t="shared" si="0"/>
        <v>7184300</v>
      </c>
      <c r="M54" s="1">
        <f t="shared" si="0"/>
        <v>1694100</v>
      </c>
    </row>
    <row r="55" spans="1:13" x14ac:dyDescent="0.25">
      <c r="A55" s="2" t="s">
        <v>65</v>
      </c>
      <c r="B55" s="1">
        <f>MIN($B2:$B52)</f>
        <v>1000</v>
      </c>
      <c r="C55" s="1">
        <f>MIN(C$2:C$52)</f>
        <v>800</v>
      </c>
      <c r="D55" s="1">
        <f t="shared" ref="D55:M55" si="1">MIN(D$2:D$52)</f>
        <v>8200</v>
      </c>
      <c r="E55" s="1">
        <f t="shared" si="1"/>
        <v>400</v>
      </c>
      <c r="F55" s="1">
        <f t="shared" si="1"/>
        <v>16800</v>
      </c>
      <c r="G55" s="1">
        <f t="shared" si="1"/>
        <v>0</v>
      </c>
      <c r="H55" s="1">
        <f t="shared" si="1"/>
        <v>0</v>
      </c>
      <c r="I55" s="1">
        <f t="shared" si="1"/>
        <v>0</v>
      </c>
      <c r="J55" s="1">
        <f t="shared" si="1"/>
        <v>0</v>
      </c>
      <c r="K55" s="1">
        <f t="shared" si="1"/>
        <v>262500</v>
      </c>
      <c r="L55" s="1">
        <f t="shared" si="1"/>
        <v>1800</v>
      </c>
      <c r="M55" s="1">
        <f t="shared" si="1"/>
        <v>600</v>
      </c>
    </row>
    <row r="56" spans="1:13" x14ac:dyDescent="0.25">
      <c r="A56" s="2" t="s">
        <v>66</v>
      </c>
      <c r="B56" s="1">
        <f>MAX($B3:$B53)</f>
        <v>1256600</v>
      </c>
      <c r="C56" s="1">
        <f>MAX(C$2:C$52)</f>
        <v>410700</v>
      </c>
      <c r="D56" s="1">
        <f t="shared" ref="D56:M56" si="2">MAX(D$2:D$52)</f>
        <v>1703200</v>
      </c>
      <c r="E56" s="1">
        <f t="shared" si="2"/>
        <v>460700</v>
      </c>
      <c r="F56" s="1">
        <f t="shared" si="2"/>
        <v>2315400</v>
      </c>
      <c r="G56" s="1">
        <f t="shared" si="2"/>
        <v>10100</v>
      </c>
      <c r="H56" s="1">
        <f t="shared" si="2"/>
        <v>1500</v>
      </c>
      <c r="I56" s="1">
        <f t="shared" si="2"/>
        <v>16900</v>
      </c>
      <c r="J56" s="1">
        <f t="shared" si="2"/>
        <v>0</v>
      </c>
      <c r="K56" s="1">
        <f t="shared" si="2"/>
        <v>31191900</v>
      </c>
      <c r="L56" s="1">
        <f t="shared" si="2"/>
        <v>772800</v>
      </c>
      <c r="M56" s="1">
        <f t="shared" si="2"/>
        <v>121800</v>
      </c>
    </row>
  </sheetData>
  <autoFilter ref="A1:M52" xr:uid="{6E6F7C66-E8FC-4435-8714-47929F3612D0}">
    <sortState xmlns:xlrd2="http://schemas.microsoft.com/office/spreadsheetml/2017/richdata2" ref="A2:M52">
      <sortCondition descending="1" ref="M1:M5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794A-090E-439E-8CDB-F7C296FE9488}">
  <dimension ref="A1:M56"/>
  <sheetViews>
    <sheetView workbookViewId="0">
      <selection activeCell="C2" sqref="C2:C13"/>
    </sheetView>
  </sheetViews>
  <sheetFormatPr defaultRowHeight="15" x14ac:dyDescent="0.25"/>
  <cols>
    <col min="1" max="1" width="6.85546875" customWidth="1"/>
    <col min="2" max="2" width="23.28515625" bestFit="1" customWidth="1"/>
    <col min="3" max="3" width="17.28515625" customWidth="1"/>
    <col min="6" max="6" width="14.140625" customWidth="1"/>
    <col min="11" max="11" width="13" customWidth="1"/>
  </cols>
  <sheetData>
    <row r="1" spans="1:13" x14ac:dyDescent="0.25">
      <c r="A1" s="2" t="s">
        <v>67</v>
      </c>
      <c r="B1" s="2" t="s">
        <v>68</v>
      </c>
      <c r="C1" s="2" t="s">
        <v>69</v>
      </c>
    </row>
    <row r="2" spans="1:13" x14ac:dyDescent="0.25">
      <c r="A2" s="6">
        <v>1</v>
      </c>
      <c r="B2" s="3" t="s">
        <v>70</v>
      </c>
      <c r="C2" s="4">
        <v>3555900</v>
      </c>
      <c r="D2" s="1"/>
      <c r="E2" s="1"/>
      <c r="F2" s="1"/>
      <c r="K2" s="1"/>
      <c r="L2" s="1"/>
      <c r="M2" s="1"/>
    </row>
    <row r="3" spans="1:13" x14ac:dyDescent="0.25">
      <c r="A3" s="6">
        <v>2</v>
      </c>
      <c r="B3" s="3" t="s">
        <v>71</v>
      </c>
      <c r="C3" s="4">
        <v>1307200</v>
      </c>
      <c r="D3" s="1"/>
      <c r="E3" s="1"/>
      <c r="F3" s="1"/>
      <c r="K3" s="1"/>
      <c r="L3" s="1"/>
      <c r="M3" s="1"/>
    </row>
    <row r="4" spans="1:13" x14ac:dyDescent="0.25">
      <c r="A4" s="6">
        <v>3</v>
      </c>
      <c r="B4" s="3" t="s">
        <v>3</v>
      </c>
      <c r="C4" s="4">
        <v>7392300</v>
      </c>
      <c r="D4" s="1"/>
      <c r="E4" s="1"/>
      <c r="F4" s="1"/>
      <c r="K4" s="1"/>
      <c r="L4" s="1"/>
      <c r="M4" s="1"/>
    </row>
    <row r="5" spans="1:13" x14ac:dyDescent="0.25">
      <c r="A5" s="6">
        <v>4</v>
      </c>
      <c r="B5" s="3" t="s">
        <v>4</v>
      </c>
      <c r="C5" s="5">
        <v>2803600</v>
      </c>
      <c r="D5" s="1"/>
      <c r="E5" s="1"/>
      <c r="F5" s="1"/>
      <c r="K5" s="1"/>
      <c r="L5" s="1"/>
      <c r="M5" s="1"/>
    </row>
    <row r="6" spans="1:13" x14ac:dyDescent="0.25">
      <c r="A6" s="6">
        <v>5</v>
      </c>
      <c r="B6" s="3" t="s">
        <v>5</v>
      </c>
      <c r="C6" s="4">
        <v>20240600</v>
      </c>
      <c r="D6" s="1"/>
      <c r="E6" s="1"/>
      <c r="F6" s="1"/>
      <c r="G6" s="1"/>
      <c r="H6" s="1"/>
      <c r="I6" s="1"/>
      <c r="K6" s="1"/>
      <c r="L6" s="1"/>
      <c r="M6" s="1"/>
    </row>
    <row r="7" spans="1:13" x14ac:dyDescent="0.25">
      <c r="A7" s="6">
        <v>6</v>
      </c>
      <c r="B7" s="3" t="s">
        <v>72</v>
      </c>
      <c r="C7" s="5">
        <v>24700</v>
      </c>
      <c r="D7" s="1"/>
      <c r="E7" s="1"/>
      <c r="F7" s="1"/>
      <c r="K7" s="1"/>
      <c r="L7" s="1"/>
      <c r="M7" s="1"/>
    </row>
    <row r="8" spans="1:13" x14ac:dyDescent="0.25">
      <c r="A8" s="6">
        <v>7</v>
      </c>
      <c r="B8" s="3" t="s">
        <v>7</v>
      </c>
      <c r="C8" s="4">
        <v>6000</v>
      </c>
      <c r="D8" s="1"/>
      <c r="E8" s="1"/>
      <c r="F8" s="1"/>
      <c r="K8" s="1"/>
      <c r="L8" s="1"/>
      <c r="M8" s="1"/>
    </row>
    <row r="9" spans="1:13" x14ac:dyDescent="0.25">
      <c r="A9" s="6">
        <v>8</v>
      </c>
      <c r="B9" s="3" t="s">
        <v>8</v>
      </c>
      <c r="C9" s="5">
        <v>16900</v>
      </c>
      <c r="D9" s="1"/>
      <c r="E9" s="1"/>
      <c r="F9" s="1"/>
      <c r="K9" s="1"/>
      <c r="L9" s="1"/>
      <c r="M9" s="1"/>
    </row>
    <row r="10" spans="1:13" x14ac:dyDescent="0.25">
      <c r="A10" s="6">
        <v>9</v>
      </c>
      <c r="B10" s="3" t="s">
        <v>9</v>
      </c>
      <c r="C10" s="3">
        <v>0</v>
      </c>
      <c r="D10" s="1"/>
      <c r="F10" s="1"/>
      <c r="K10" s="1"/>
      <c r="L10" s="1"/>
    </row>
    <row r="11" spans="1:13" x14ac:dyDescent="0.25">
      <c r="A11" s="6">
        <v>10</v>
      </c>
      <c r="B11" s="3" t="s">
        <v>10</v>
      </c>
      <c r="C11" s="4">
        <v>242870900</v>
      </c>
      <c r="D11" s="1"/>
      <c r="E11" s="1"/>
      <c r="F11" s="1"/>
      <c r="K11" s="1"/>
      <c r="L11" s="1"/>
      <c r="M11" s="1"/>
    </row>
    <row r="12" spans="1:13" x14ac:dyDescent="0.25">
      <c r="A12" s="6">
        <v>11</v>
      </c>
      <c r="B12" s="3" t="s">
        <v>11</v>
      </c>
      <c r="C12" s="4">
        <v>7184300</v>
      </c>
      <c r="D12" s="1"/>
      <c r="E12" s="1"/>
      <c r="F12" s="1"/>
      <c r="K12" s="1"/>
      <c r="L12" s="1"/>
      <c r="M12" s="1"/>
    </row>
    <row r="13" spans="1:13" x14ac:dyDescent="0.25">
      <c r="A13" s="6">
        <v>12</v>
      </c>
      <c r="B13" s="3" t="s">
        <v>12</v>
      </c>
      <c r="C13" s="4">
        <v>1694100</v>
      </c>
      <c r="D13" s="1"/>
      <c r="E13" s="1"/>
      <c r="F13" s="1"/>
      <c r="K13" s="1"/>
      <c r="L13" s="1"/>
      <c r="M13" s="1"/>
    </row>
    <row r="14" spans="1:13" x14ac:dyDescent="0.25">
      <c r="B14" s="1"/>
      <c r="C14" s="1"/>
      <c r="D14" s="1"/>
      <c r="E14" s="1"/>
      <c r="F14" s="1"/>
      <c r="K14" s="1"/>
      <c r="L14" s="1"/>
      <c r="M14" s="1"/>
    </row>
    <row r="15" spans="1:13" x14ac:dyDescent="0.25">
      <c r="B15" s="1"/>
      <c r="C15" s="1"/>
      <c r="D15" s="1"/>
      <c r="E15" s="1"/>
      <c r="F15" s="1"/>
      <c r="K15" s="1"/>
      <c r="L15" s="1"/>
      <c r="M15" s="1"/>
    </row>
    <row r="16" spans="1:13" x14ac:dyDescent="0.25">
      <c r="B16" s="1"/>
      <c r="C16" s="1"/>
      <c r="D16" s="1"/>
      <c r="E16" s="1"/>
      <c r="F16" s="1"/>
      <c r="K16" s="1"/>
      <c r="L16" s="1"/>
      <c r="M16" s="1"/>
    </row>
    <row r="17" spans="2:13" x14ac:dyDescent="0.25">
      <c r="B17" s="1"/>
      <c r="C17" s="1"/>
      <c r="D17" s="1"/>
      <c r="E17" s="1"/>
      <c r="F17" s="1"/>
      <c r="K17" s="1"/>
      <c r="L17" s="1"/>
      <c r="M17" s="1"/>
    </row>
    <row r="18" spans="2:13" x14ac:dyDescent="0.25">
      <c r="B18" s="1"/>
      <c r="C18" s="1"/>
      <c r="D18" s="1"/>
      <c r="E18" s="1"/>
      <c r="F18" s="1"/>
      <c r="K18" s="1"/>
      <c r="L18" s="1"/>
      <c r="M18" s="1"/>
    </row>
    <row r="19" spans="2:13" x14ac:dyDescent="0.25">
      <c r="B19" s="1"/>
      <c r="C19" s="1"/>
      <c r="D19" s="1"/>
      <c r="E19" s="1"/>
      <c r="F19" s="1"/>
      <c r="K19" s="1"/>
      <c r="L19" s="1"/>
      <c r="M19" s="1"/>
    </row>
    <row r="20" spans="2:13" x14ac:dyDescent="0.25">
      <c r="B20" s="1"/>
      <c r="C20" s="1"/>
      <c r="D20" s="1"/>
      <c r="E20" s="1"/>
      <c r="F20" s="1"/>
      <c r="K20" s="1"/>
      <c r="L20" s="1"/>
      <c r="M20" s="1"/>
    </row>
    <row r="21" spans="2:13" x14ac:dyDescent="0.25">
      <c r="B21" s="1"/>
      <c r="C21" s="1"/>
      <c r="D21" s="1"/>
      <c r="E21" s="1"/>
      <c r="F21" s="1"/>
      <c r="K21" s="1"/>
      <c r="L21" s="1"/>
      <c r="M21" s="1"/>
    </row>
    <row r="22" spans="2:13" x14ac:dyDescent="0.25">
      <c r="B22" s="1"/>
      <c r="C22" s="1"/>
      <c r="D22" s="1"/>
      <c r="E22" s="1"/>
      <c r="F22" s="1"/>
      <c r="K22" s="1"/>
      <c r="L22" s="1"/>
      <c r="M22" s="1"/>
    </row>
    <row r="23" spans="2:13" x14ac:dyDescent="0.25">
      <c r="B23" s="1"/>
      <c r="C23" s="1"/>
      <c r="D23" s="1"/>
      <c r="E23" s="1"/>
      <c r="F23" s="1"/>
      <c r="K23" s="1"/>
      <c r="L23" s="1"/>
      <c r="M23" s="1"/>
    </row>
    <row r="24" spans="2:13" x14ac:dyDescent="0.25">
      <c r="B24" s="1"/>
      <c r="C24" s="1"/>
      <c r="D24" s="1"/>
      <c r="E24" s="1"/>
      <c r="F24" s="1"/>
      <c r="K24" s="1"/>
      <c r="L24" s="1"/>
      <c r="M24" s="1"/>
    </row>
    <row r="25" spans="2:13" x14ac:dyDescent="0.25">
      <c r="B25" s="1"/>
      <c r="C25" s="1"/>
      <c r="D25" s="1"/>
      <c r="E25" s="1"/>
      <c r="F25" s="1"/>
      <c r="K25" s="1"/>
      <c r="L25" s="1"/>
      <c r="M25" s="1"/>
    </row>
    <row r="26" spans="2:13" x14ac:dyDescent="0.25">
      <c r="B26" s="1"/>
      <c r="C26" s="1"/>
      <c r="D26" s="1"/>
      <c r="E26" s="1"/>
      <c r="F26" s="1"/>
      <c r="K26" s="1"/>
      <c r="L26" s="1"/>
      <c r="M26" s="1"/>
    </row>
    <row r="27" spans="2:13" x14ac:dyDescent="0.25">
      <c r="B27" s="1"/>
      <c r="C27" s="1"/>
      <c r="D27" s="1"/>
      <c r="E27" s="1"/>
      <c r="F27" s="1"/>
      <c r="K27" s="1"/>
      <c r="L27" s="1"/>
      <c r="M27" s="1"/>
    </row>
    <row r="28" spans="2:13" x14ac:dyDescent="0.25">
      <c r="B28" s="1"/>
      <c r="C28" s="1"/>
      <c r="D28" s="1"/>
      <c r="E28" s="1"/>
      <c r="F28" s="1"/>
      <c r="K28" s="1"/>
      <c r="L28" s="1"/>
      <c r="M28" s="1"/>
    </row>
    <row r="29" spans="2:13" x14ac:dyDescent="0.25">
      <c r="B29" s="1"/>
      <c r="C29" s="1"/>
      <c r="D29" s="1"/>
      <c r="E29" s="1"/>
      <c r="F29" s="1"/>
      <c r="K29" s="1"/>
      <c r="L29" s="1"/>
      <c r="M29" s="1"/>
    </row>
    <row r="30" spans="2:13" x14ac:dyDescent="0.25">
      <c r="B30" s="1"/>
      <c r="C30" s="1"/>
      <c r="D30" s="1"/>
      <c r="E30" s="1"/>
      <c r="F30" s="1"/>
      <c r="K30" s="1"/>
      <c r="L30" s="1"/>
      <c r="M30" s="1"/>
    </row>
    <row r="31" spans="2:13" x14ac:dyDescent="0.25">
      <c r="B31" s="1"/>
      <c r="C31" s="1"/>
      <c r="D31" s="1"/>
      <c r="E31" s="1"/>
      <c r="F31" s="1"/>
      <c r="K31" s="1"/>
      <c r="L31" s="1"/>
      <c r="M31" s="1"/>
    </row>
    <row r="32" spans="2:13" x14ac:dyDescent="0.25">
      <c r="B32" s="1"/>
      <c r="C32" s="1"/>
      <c r="D32" s="1"/>
      <c r="E32" s="1"/>
      <c r="F32" s="1"/>
      <c r="K32" s="1"/>
      <c r="L32" s="1"/>
      <c r="M32" s="1"/>
    </row>
    <row r="33" spans="2:13" x14ac:dyDescent="0.25">
      <c r="B33" s="1"/>
      <c r="C33" s="1"/>
      <c r="D33" s="1"/>
      <c r="E33" s="1"/>
      <c r="F33" s="1"/>
      <c r="K33" s="1"/>
      <c r="L33" s="1"/>
      <c r="M33" s="1"/>
    </row>
    <row r="34" spans="2:13" x14ac:dyDescent="0.25">
      <c r="B34" s="1"/>
      <c r="C34" s="1"/>
      <c r="D34" s="1"/>
      <c r="E34" s="1"/>
      <c r="F34" s="1"/>
      <c r="K34" s="1"/>
      <c r="L34" s="1"/>
      <c r="M34" s="1"/>
    </row>
    <row r="35" spans="2:13" x14ac:dyDescent="0.25">
      <c r="B35" s="1"/>
      <c r="C35" s="1"/>
      <c r="D35" s="1"/>
      <c r="E35" s="1"/>
      <c r="F35" s="1"/>
      <c r="K35" s="1"/>
      <c r="L35" s="1"/>
      <c r="M35" s="1"/>
    </row>
    <row r="36" spans="2:13" x14ac:dyDescent="0.25">
      <c r="B36" s="1"/>
      <c r="D36" s="1"/>
      <c r="E36" s="1"/>
      <c r="F36" s="1"/>
      <c r="K36" s="1"/>
      <c r="L36" s="1"/>
      <c r="M36" s="1"/>
    </row>
    <row r="37" spans="2:13" x14ac:dyDescent="0.25">
      <c r="B37" s="1"/>
      <c r="C37" s="1"/>
      <c r="D37" s="1"/>
      <c r="E37" s="1"/>
      <c r="F37" s="1"/>
      <c r="K37" s="1"/>
      <c r="L37" s="1"/>
      <c r="M37" s="1"/>
    </row>
    <row r="38" spans="2:13" x14ac:dyDescent="0.25">
      <c r="B38" s="1"/>
      <c r="C38" s="1"/>
      <c r="D38" s="1"/>
      <c r="E38" s="1"/>
      <c r="F38" s="1"/>
      <c r="G38" s="1"/>
      <c r="K38" s="1"/>
      <c r="L38" s="1"/>
      <c r="M38" s="1"/>
    </row>
    <row r="39" spans="2:13" x14ac:dyDescent="0.25">
      <c r="B39" s="1"/>
      <c r="C39" s="1"/>
      <c r="D39" s="1"/>
      <c r="E39" s="1"/>
      <c r="F39" s="1"/>
      <c r="K39" s="1"/>
      <c r="L39" s="1"/>
      <c r="M39" s="1"/>
    </row>
    <row r="40" spans="2:13" x14ac:dyDescent="0.25">
      <c r="B40" s="1"/>
      <c r="C40" s="1"/>
      <c r="D40" s="1"/>
      <c r="E40" s="1"/>
      <c r="F40" s="1"/>
      <c r="K40" s="1"/>
      <c r="L40" s="1"/>
      <c r="M40" s="1"/>
    </row>
    <row r="41" spans="2:13" x14ac:dyDescent="0.25">
      <c r="B41" s="1"/>
      <c r="C41" s="1"/>
      <c r="D41" s="1"/>
      <c r="E41" s="1"/>
      <c r="F41" s="1"/>
      <c r="K41" s="1"/>
      <c r="L41" s="1"/>
      <c r="M41" s="1"/>
    </row>
    <row r="42" spans="2:13" x14ac:dyDescent="0.25">
      <c r="B42" s="1"/>
      <c r="C42" s="1"/>
      <c r="D42" s="1"/>
      <c r="E42" s="1"/>
      <c r="F42" s="1"/>
      <c r="K42" s="1"/>
      <c r="L42" s="1"/>
      <c r="M42" s="1"/>
    </row>
    <row r="43" spans="2:13" x14ac:dyDescent="0.25">
      <c r="B43" s="1"/>
      <c r="C43" s="1"/>
      <c r="D43" s="1"/>
      <c r="E43" s="1"/>
      <c r="F43" s="1"/>
      <c r="K43" s="1"/>
      <c r="L43" s="1"/>
      <c r="M43" s="1"/>
    </row>
    <row r="44" spans="2:13" x14ac:dyDescent="0.25">
      <c r="B44" s="1"/>
      <c r="C44" s="1"/>
      <c r="D44" s="1"/>
      <c r="E44" s="1"/>
      <c r="F44" s="1"/>
      <c r="K44" s="1"/>
      <c r="L44" s="1"/>
      <c r="M44" s="1"/>
    </row>
    <row r="45" spans="2:13" x14ac:dyDescent="0.25">
      <c r="B45" s="1"/>
      <c r="C45" s="1"/>
      <c r="D45" s="1"/>
      <c r="E45" s="1"/>
      <c r="F45" s="1"/>
      <c r="G45" s="1"/>
      <c r="H45" s="1"/>
      <c r="K45" s="1"/>
      <c r="L45" s="1"/>
      <c r="M45" s="1"/>
    </row>
    <row r="46" spans="2:13" x14ac:dyDescent="0.25">
      <c r="B46" s="1"/>
      <c r="C46" s="1"/>
      <c r="D46" s="1"/>
      <c r="E46" s="1"/>
      <c r="F46" s="1"/>
      <c r="G46" s="1"/>
      <c r="K46" s="1"/>
      <c r="L46" s="1"/>
      <c r="M46" s="1"/>
    </row>
    <row r="47" spans="2:13" x14ac:dyDescent="0.25">
      <c r="B47" s="1"/>
      <c r="C47" s="1"/>
      <c r="D47" s="1"/>
      <c r="E47" s="1"/>
      <c r="F47" s="1"/>
      <c r="K47" s="1"/>
      <c r="L47" s="1"/>
      <c r="M47" s="1"/>
    </row>
    <row r="48" spans="2:13" x14ac:dyDescent="0.25">
      <c r="B48" s="1"/>
      <c r="C48" s="1"/>
      <c r="D48" s="1"/>
      <c r="E48" s="1"/>
      <c r="F48" s="1"/>
      <c r="K48" s="1"/>
      <c r="L48" s="1"/>
      <c r="M48" s="1"/>
    </row>
    <row r="49" spans="1:13" x14ac:dyDescent="0.25">
      <c r="B49" s="1"/>
      <c r="C49" s="1"/>
      <c r="D49" s="1"/>
      <c r="E49" s="1"/>
      <c r="F49" s="1"/>
      <c r="K49" s="1"/>
      <c r="L49" s="1"/>
      <c r="M49" s="1"/>
    </row>
    <row r="50" spans="1:13" x14ac:dyDescent="0.25">
      <c r="B50" s="1"/>
      <c r="C50" s="1"/>
      <c r="D50" s="1"/>
      <c r="E50" s="1"/>
      <c r="F50" s="1"/>
      <c r="K50" s="1"/>
      <c r="L50" s="1"/>
      <c r="M50" s="1"/>
    </row>
    <row r="51" spans="1:13" x14ac:dyDescent="0.25">
      <c r="B51" s="1"/>
      <c r="C51" s="1"/>
      <c r="D51" s="1"/>
      <c r="E51" s="1"/>
      <c r="F51" s="1"/>
      <c r="K51" s="1"/>
      <c r="L51" s="1"/>
      <c r="M51" s="1"/>
    </row>
    <row r="52" spans="1:13" x14ac:dyDescent="0.25">
      <c r="B52" s="1"/>
      <c r="D52" s="1"/>
      <c r="E52" s="1"/>
      <c r="F52" s="1"/>
      <c r="K52" s="1"/>
      <c r="L52" s="1"/>
      <c r="M52" s="1"/>
    </row>
    <row r="54" spans="1:13" x14ac:dyDescent="0.25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0E2EE-63FA-4E9B-AF98-BF7ACC8AB6B5}">
  <dimension ref="B1:F16"/>
  <sheetViews>
    <sheetView workbookViewId="0">
      <selection activeCell="C16" sqref="C16"/>
    </sheetView>
  </sheetViews>
  <sheetFormatPr defaultRowHeight="15" x14ac:dyDescent="0.25"/>
  <cols>
    <col min="2" max="2" width="16.5703125" customWidth="1"/>
    <col min="3" max="3" width="17" customWidth="1"/>
    <col min="4" max="4" width="13.5703125" customWidth="1"/>
    <col min="5" max="5" width="18.7109375" bestFit="1" customWidth="1"/>
    <col min="6" max="6" width="15.5703125" customWidth="1"/>
  </cols>
  <sheetData>
    <row r="1" spans="2:6" ht="19.5" x14ac:dyDescent="0.3">
      <c r="B1" s="16" t="s">
        <v>88</v>
      </c>
      <c r="C1" s="16"/>
      <c r="E1" s="16" t="s">
        <v>89</v>
      </c>
      <c r="F1" s="16"/>
    </row>
    <row r="2" spans="2:6" x14ac:dyDescent="0.25">
      <c r="B2" s="11" t="s">
        <v>0</v>
      </c>
      <c r="C2" s="11" t="s">
        <v>83</v>
      </c>
      <c r="E2" s="2" t="s">
        <v>0</v>
      </c>
      <c r="F2" s="11" t="s">
        <v>83</v>
      </c>
    </row>
    <row r="3" spans="2:6" x14ac:dyDescent="0.25">
      <c r="B3" s="10" t="s">
        <v>17</v>
      </c>
      <c r="C3" s="13">
        <v>36850300</v>
      </c>
      <c r="E3" t="s">
        <v>21</v>
      </c>
      <c r="F3" s="12">
        <v>312100</v>
      </c>
    </row>
    <row r="4" spans="2:6" x14ac:dyDescent="0.25">
      <c r="B4" s="10" t="s">
        <v>56</v>
      </c>
      <c r="C4" s="13">
        <v>25796600</v>
      </c>
      <c r="E4" t="s">
        <v>14</v>
      </c>
      <c r="F4" s="12">
        <v>559800</v>
      </c>
    </row>
    <row r="5" spans="2:6" x14ac:dyDescent="0.25">
      <c r="B5" s="10" t="s">
        <v>22</v>
      </c>
      <c r="C5" s="13">
        <v>18583200</v>
      </c>
      <c r="E5" t="s">
        <v>58</v>
      </c>
      <c r="F5" s="12">
        <v>593100</v>
      </c>
    </row>
    <row r="6" spans="2:6" x14ac:dyDescent="0.25">
      <c r="B6" s="10" t="s">
        <v>45</v>
      </c>
      <c r="C6" s="13">
        <v>11318600</v>
      </c>
      <c r="E6" t="s">
        <v>63</v>
      </c>
      <c r="F6" s="12">
        <v>652900</v>
      </c>
    </row>
    <row r="7" spans="2:6" x14ac:dyDescent="0.25">
      <c r="B7" s="10" t="s">
        <v>48</v>
      </c>
      <c r="C7" s="13">
        <v>10317300</v>
      </c>
      <c r="E7" t="s">
        <v>47</v>
      </c>
      <c r="F7" s="12">
        <v>797400</v>
      </c>
    </row>
    <row r="8" spans="2:6" x14ac:dyDescent="0.25">
      <c r="B8" s="10" t="s">
        <v>51</v>
      </c>
      <c r="C8" s="13">
        <v>10211000</v>
      </c>
      <c r="E8" t="s">
        <v>52</v>
      </c>
      <c r="F8" s="12">
        <v>877600</v>
      </c>
    </row>
    <row r="9" spans="2:6" x14ac:dyDescent="0.25">
      <c r="B9" s="10" t="s">
        <v>26</v>
      </c>
      <c r="C9" s="13">
        <v>10043200</v>
      </c>
      <c r="E9" t="s">
        <v>20</v>
      </c>
      <c r="F9" s="12">
        <v>914700</v>
      </c>
    </row>
    <row r="10" spans="2:6" x14ac:dyDescent="0.25">
      <c r="B10" s="10" t="s">
        <v>23</v>
      </c>
      <c r="C10" s="13">
        <v>9642400</v>
      </c>
      <c r="E10" t="s">
        <v>54</v>
      </c>
      <c r="F10" s="12">
        <v>918000</v>
      </c>
    </row>
    <row r="11" spans="2:6" x14ac:dyDescent="0.25">
      <c r="B11" s="10" t="s">
        <v>46</v>
      </c>
      <c r="C11" s="13">
        <v>9085500</v>
      </c>
      <c r="E11" t="s">
        <v>39</v>
      </c>
      <c r="F11" s="12">
        <v>1021700</v>
      </c>
    </row>
    <row r="12" spans="2:6" x14ac:dyDescent="0.25">
      <c r="B12" s="10" t="s">
        <v>35</v>
      </c>
      <c r="C12" s="13">
        <v>8525400</v>
      </c>
      <c r="E12" t="s">
        <v>24</v>
      </c>
      <c r="F12" s="12">
        <v>1080100</v>
      </c>
    </row>
    <row r="16" spans="2:6" x14ac:dyDescent="0.25">
      <c r="C16" s="1"/>
    </row>
  </sheetData>
  <mergeCells count="2">
    <mergeCell ref="B1:C1"/>
    <mergeCell ref="E1:F1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C940E-D215-46A6-AEB7-11F4BB74BABF}">
  <dimension ref="B1:F7"/>
  <sheetViews>
    <sheetView workbookViewId="0">
      <selection activeCell="E12" sqref="E12"/>
    </sheetView>
  </sheetViews>
  <sheetFormatPr defaultRowHeight="15" x14ac:dyDescent="0.25"/>
  <cols>
    <col min="2" max="2" width="11.5703125" bestFit="1" customWidth="1"/>
    <col min="3" max="3" width="17.5703125" customWidth="1"/>
    <col min="5" max="5" width="12.85546875" bestFit="1" customWidth="1"/>
    <col min="6" max="6" width="15.85546875" customWidth="1"/>
  </cols>
  <sheetData>
    <row r="1" spans="2:6" ht="19.5" x14ac:dyDescent="0.3">
      <c r="B1" s="16" t="s">
        <v>90</v>
      </c>
      <c r="C1" s="16"/>
      <c r="E1" s="16" t="s">
        <v>91</v>
      </c>
      <c r="F1" s="16"/>
    </row>
    <row r="2" spans="2:6" x14ac:dyDescent="0.25">
      <c r="B2" s="2" t="s">
        <v>0</v>
      </c>
      <c r="C2" s="2" t="s">
        <v>1</v>
      </c>
      <c r="E2" s="2" t="s">
        <v>0</v>
      </c>
      <c r="F2" s="2" t="s">
        <v>1</v>
      </c>
    </row>
    <row r="3" spans="2:6" x14ac:dyDescent="0.25">
      <c r="B3" t="s">
        <v>17</v>
      </c>
      <c r="C3" s="15">
        <v>1256600</v>
      </c>
      <c r="E3" t="s">
        <v>47</v>
      </c>
      <c r="F3" s="14">
        <v>1000</v>
      </c>
    </row>
    <row r="4" spans="2:6" x14ac:dyDescent="0.25">
      <c r="B4" t="s">
        <v>22</v>
      </c>
      <c r="C4" s="15">
        <v>254900</v>
      </c>
      <c r="E4" t="s">
        <v>63</v>
      </c>
      <c r="F4" s="14">
        <v>1100</v>
      </c>
    </row>
    <row r="5" spans="2:6" x14ac:dyDescent="0.25">
      <c r="B5" t="s">
        <v>43</v>
      </c>
      <c r="C5" s="15">
        <v>134800</v>
      </c>
      <c r="E5" t="s">
        <v>54</v>
      </c>
      <c r="F5" s="14">
        <v>1700</v>
      </c>
    </row>
    <row r="6" spans="2:6" x14ac:dyDescent="0.25">
      <c r="B6" t="s">
        <v>56</v>
      </c>
      <c r="C6" s="15">
        <v>230100</v>
      </c>
      <c r="E6" t="s">
        <v>14</v>
      </c>
      <c r="F6" s="14">
        <v>2700</v>
      </c>
    </row>
    <row r="7" spans="2:6" x14ac:dyDescent="0.25">
      <c r="B7" t="s">
        <v>60</v>
      </c>
      <c r="C7" s="15">
        <v>152100</v>
      </c>
      <c r="E7" t="s">
        <v>61</v>
      </c>
      <c r="F7" s="14">
        <v>2800</v>
      </c>
    </row>
  </sheetData>
  <mergeCells count="2">
    <mergeCell ref="B1:C1"/>
    <mergeCell ref="E1:F1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4B0F-8A45-4C17-9044-1BFEABB145E5}">
  <dimension ref="A1:D7"/>
  <sheetViews>
    <sheetView workbookViewId="0">
      <selection activeCell="A10" sqref="A10"/>
    </sheetView>
  </sheetViews>
  <sheetFormatPr defaultRowHeight="15" x14ac:dyDescent="0.25"/>
  <cols>
    <col min="2" max="3" width="24.7109375" customWidth="1"/>
    <col min="4" max="4" width="47" customWidth="1"/>
  </cols>
  <sheetData>
    <row r="1" spans="1:4" x14ac:dyDescent="0.25">
      <c r="B1" s="8" t="s">
        <v>74</v>
      </c>
      <c r="C1" s="8" t="s">
        <v>75</v>
      </c>
      <c r="D1" s="8" t="s">
        <v>73</v>
      </c>
    </row>
    <row r="2" spans="1:4" x14ac:dyDescent="0.25">
      <c r="A2" s="9">
        <v>1</v>
      </c>
      <c r="B2" s="7" t="s">
        <v>76</v>
      </c>
      <c r="C2" s="7" t="s">
        <v>84</v>
      </c>
      <c r="D2" s="7" t="s">
        <v>78</v>
      </c>
    </row>
    <row r="3" spans="1:4" x14ac:dyDescent="0.25">
      <c r="A3" s="9">
        <v>2</v>
      </c>
      <c r="B3" s="7" t="s">
        <v>79</v>
      </c>
      <c r="C3" s="7" t="s">
        <v>84</v>
      </c>
      <c r="D3" s="7" t="s">
        <v>78</v>
      </c>
    </row>
    <row r="4" spans="1:4" x14ac:dyDescent="0.25">
      <c r="A4" s="9">
        <v>3</v>
      </c>
      <c r="B4" s="7" t="s">
        <v>80</v>
      </c>
      <c r="C4" s="7" t="s">
        <v>85</v>
      </c>
      <c r="D4" s="7" t="s">
        <v>78</v>
      </c>
    </row>
    <row r="5" spans="1:4" x14ac:dyDescent="0.25">
      <c r="A5" s="9">
        <v>4</v>
      </c>
      <c r="B5" s="7" t="s">
        <v>81</v>
      </c>
      <c r="C5" s="7" t="s">
        <v>86</v>
      </c>
      <c r="D5" s="7" t="s">
        <v>78</v>
      </c>
    </row>
    <row r="6" spans="1:4" ht="19.5" customHeight="1" x14ac:dyDescent="0.25">
      <c r="A6" s="9">
        <v>5</v>
      </c>
      <c r="B6" s="7" t="s">
        <v>82</v>
      </c>
      <c r="C6" s="7" t="s">
        <v>77</v>
      </c>
      <c r="D6" s="7" t="s">
        <v>78</v>
      </c>
    </row>
    <row r="7" spans="1:4" x14ac:dyDescent="0.25">
      <c r="A7" s="9">
        <v>6</v>
      </c>
      <c r="B7" s="7" t="s">
        <v>83</v>
      </c>
      <c r="C7" s="7" t="s">
        <v>87</v>
      </c>
      <c r="D7" s="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Vehicle Data</vt:lpstr>
      <vt:lpstr>ISNUMBER</vt:lpstr>
      <vt:lpstr>Zero-Heavy Fuel Types</vt:lpstr>
      <vt:lpstr>Fuel Type &amp; Total Vehicles</vt:lpstr>
      <vt:lpstr>Total Vehicle By State</vt:lpstr>
      <vt:lpstr>EVs By State</vt:lpstr>
      <vt:lpstr>Cleaning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Rayne Michael</dc:creator>
  <cp:lastModifiedBy>Michael Adesanya</cp:lastModifiedBy>
  <dcterms:created xsi:type="dcterms:W3CDTF">2026-07-06T15:21:47Z</dcterms:created>
  <dcterms:modified xsi:type="dcterms:W3CDTF">2026-09-10T11:29:49Z</dcterms:modified>
</cp:coreProperties>
</file>